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项目\盆地中心\四川盆地项目\气水两相产能评价方法软件编制\PVT计算\"/>
    </mc:Choice>
  </mc:AlternateContent>
  <xr:revisionPtr revIDLastSave="0" documentId="13_ncr:1_{6A1C48E5-B22F-45B5-8B85-83DB675426EA}" xr6:coauthVersionLast="44" xr6:coauthVersionMax="44" xr10:uidLastSave="{00000000-0000-0000-0000-000000000000}"/>
  <bookViews>
    <workbookView xWindow="-108" yWindow="-108" windowWidth="30936" windowHeight="16896" activeTab="1" xr2:uid="{00000000-000D-0000-FFFF-FFFF00000000}"/>
  </bookViews>
  <sheets>
    <sheet name="单位制" sheetId="2" r:id="rId1"/>
    <sheet name="1.1 天然气性质" sheetId="3" r:id="rId2"/>
    <sheet name="1.2 地层水性质" sheetId="4" r:id="rId3"/>
    <sheet name="1.3 岩石性质" sheetId="5" r:id="rId4"/>
    <sheet name="Sheet1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4" l="1"/>
  <c r="C4" i="4" l="1"/>
  <c r="C10" i="4"/>
  <c r="C9" i="4"/>
  <c r="C8" i="3" l="1"/>
  <c r="C9" i="3"/>
  <c r="C13" i="3"/>
  <c r="C14" i="3"/>
  <c r="C17" i="3"/>
  <c r="C12" i="3"/>
  <c r="C16" i="3"/>
  <c r="C18" i="3"/>
  <c r="C15" i="3"/>
  <c r="C12" i="4"/>
  <c r="C8" i="4"/>
  <c r="C19" i="3"/>
  <c r="C5" i="5"/>
  <c r="C6" i="5"/>
  <c r="C7" i="4"/>
  <c r="C11" i="4"/>
</calcChain>
</file>

<file path=xl/sharedStrings.xml><?xml version="1.0" encoding="utf-8"?>
<sst xmlns="http://schemas.openxmlformats.org/spreadsheetml/2006/main" count="159" uniqueCount="139">
  <si>
    <t>物理量名称</t>
    <phoneticPr fontId="1" type="noConversion"/>
  </si>
  <si>
    <t>物理量符号</t>
    <phoneticPr fontId="1" type="noConversion"/>
  </si>
  <si>
    <t>单位名称</t>
    <phoneticPr fontId="1" type="noConversion"/>
  </si>
  <si>
    <t>物理量单位</t>
    <phoneticPr fontId="1" type="noConversion"/>
  </si>
  <si>
    <t>备注</t>
    <phoneticPr fontId="1" type="noConversion"/>
  </si>
  <si>
    <t>长度</t>
    <phoneticPr fontId="1" type="noConversion"/>
  </si>
  <si>
    <t>L</t>
    <phoneticPr fontId="1" type="noConversion"/>
  </si>
  <si>
    <t>米</t>
    <phoneticPr fontId="1" type="noConversion"/>
  </si>
  <si>
    <t>m</t>
    <phoneticPr fontId="1" type="noConversion"/>
  </si>
  <si>
    <t>m</t>
    <phoneticPr fontId="1" type="noConversion"/>
  </si>
  <si>
    <t>质量</t>
    <phoneticPr fontId="1" type="noConversion"/>
  </si>
  <si>
    <t>千克</t>
    <phoneticPr fontId="1" type="noConversion"/>
  </si>
  <si>
    <t>kg</t>
    <phoneticPr fontId="1" type="noConversion"/>
  </si>
  <si>
    <t>时间</t>
    <phoneticPr fontId="1" type="noConversion"/>
  </si>
  <si>
    <t>t</t>
    <phoneticPr fontId="1" type="noConversion"/>
  </si>
  <si>
    <t>秒</t>
    <phoneticPr fontId="1" type="noConversion"/>
  </si>
  <si>
    <t>s</t>
    <phoneticPr fontId="1" type="noConversion"/>
  </si>
  <si>
    <t>温度</t>
    <phoneticPr fontId="1" type="noConversion"/>
  </si>
  <si>
    <t>T</t>
    <phoneticPr fontId="1" type="noConversion"/>
  </si>
  <si>
    <t>开尔文</t>
    <phoneticPr fontId="1" type="noConversion"/>
  </si>
  <si>
    <t>K</t>
    <phoneticPr fontId="1" type="noConversion"/>
  </si>
  <si>
    <t>物质的量</t>
    <phoneticPr fontId="1" type="noConversion"/>
  </si>
  <si>
    <t>n</t>
    <phoneticPr fontId="1" type="noConversion"/>
  </si>
  <si>
    <t>摩尔</t>
    <phoneticPr fontId="1" type="noConversion"/>
  </si>
  <si>
    <t>mol</t>
    <phoneticPr fontId="1" type="noConversion"/>
  </si>
  <si>
    <t>电流</t>
    <phoneticPr fontId="1" type="noConversion"/>
  </si>
  <si>
    <t>Ι</t>
    <phoneticPr fontId="1" type="noConversion"/>
  </si>
  <si>
    <t>安培</t>
    <phoneticPr fontId="1" type="noConversion"/>
  </si>
  <si>
    <t>A</t>
    <phoneticPr fontId="1" type="noConversion"/>
  </si>
  <si>
    <t>发光强度</t>
    <phoneticPr fontId="1" type="noConversion"/>
  </si>
  <si>
    <t>I</t>
    <phoneticPr fontId="1" type="noConversion"/>
  </si>
  <si>
    <t>坎德拉</t>
    <phoneticPr fontId="1" type="noConversion"/>
  </si>
  <si>
    <t>cd</t>
    <phoneticPr fontId="1" type="noConversion"/>
  </si>
  <si>
    <t>力</t>
    <phoneticPr fontId="1" type="noConversion"/>
  </si>
  <si>
    <t>F</t>
    <phoneticPr fontId="1" type="noConversion"/>
  </si>
  <si>
    <t>牛顿</t>
    <phoneticPr fontId="1" type="noConversion"/>
  </si>
  <si>
    <t>N</t>
    <phoneticPr fontId="1" type="noConversion"/>
  </si>
  <si>
    <r>
      <t>1N=1kg·m/s</t>
    </r>
    <r>
      <rPr>
        <vertAlign val="superscript"/>
        <sz val="12"/>
        <color rgb="FF000000"/>
        <rFont val="黑体"/>
        <family val="3"/>
        <charset val="134"/>
      </rPr>
      <t>2</t>
    </r>
    <phoneticPr fontId="1" type="noConversion"/>
  </si>
  <si>
    <t>压强</t>
    <phoneticPr fontId="1" type="noConversion"/>
  </si>
  <si>
    <t>p</t>
    <phoneticPr fontId="1" type="noConversion"/>
  </si>
  <si>
    <t>帕斯卡</t>
    <phoneticPr fontId="1" type="noConversion"/>
  </si>
  <si>
    <t>Pa</t>
    <phoneticPr fontId="1" type="noConversion"/>
  </si>
  <si>
    <r>
      <t>1Pa=1N/m</t>
    </r>
    <r>
      <rPr>
        <vertAlign val="superscript"/>
        <sz val="12"/>
        <color rgb="FF000000"/>
        <rFont val="黑体"/>
        <family val="3"/>
        <charset val="134"/>
      </rPr>
      <t>2</t>
    </r>
  </si>
  <si>
    <t>能或功</t>
    <phoneticPr fontId="1" type="noConversion"/>
  </si>
  <si>
    <t>W</t>
    <phoneticPr fontId="1" type="noConversion"/>
  </si>
  <si>
    <t>焦耳</t>
    <phoneticPr fontId="1" type="noConversion"/>
  </si>
  <si>
    <t>J</t>
    <phoneticPr fontId="1" type="noConversion"/>
  </si>
  <si>
    <t>1J=1N·m</t>
    <phoneticPr fontId="1" type="noConversion"/>
  </si>
  <si>
    <t>面积</t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</si>
  <si>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</si>
  <si>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t>体积</t>
    <phoneticPr fontId="1" type="noConversion"/>
  </si>
  <si>
    <t>V</t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</si>
  <si>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3</t>
    </r>
    <phoneticPr fontId="1" type="noConversion"/>
  </si>
  <si>
    <t>密度</t>
    <phoneticPr fontId="1" type="noConversion"/>
  </si>
  <si>
    <t>ρ</t>
  </si>
  <si>
    <r>
      <t>kg/m</t>
    </r>
    <r>
      <rPr>
        <vertAlign val="superscript"/>
        <sz val="12"/>
        <color theme="1"/>
        <rFont val="黑体"/>
        <family val="3"/>
        <charset val="134"/>
      </rPr>
      <t>3</t>
    </r>
    <phoneticPr fontId="1" type="noConversion"/>
  </si>
  <si>
    <t>速度</t>
    <phoneticPr fontId="1" type="noConversion"/>
  </si>
  <si>
    <t>v</t>
    <phoneticPr fontId="1" type="noConversion"/>
  </si>
  <si>
    <t>m/s</t>
    <phoneticPr fontId="1" type="noConversion"/>
  </si>
  <si>
    <t>流量</t>
    <phoneticPr fontId="1" type="noConversion"/>
  </si>
  <si>
    <t>q</t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</si>
  <si>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3</t>
    </r>
    <r>
      <rPr>
        <sz val="12"/>
        <color theme="1"/>
        <rFont val="黑体"/>
        <family val="3"/>
        <charset val="134"/>
      </rPr>
      <t>/s</t>
    </r>
    <phoneticPr fontId="1" type="noConversion"/>
  </si>
  <si>
    <t>粘度</t>
    <phoneticPr fontId="1" type="noConversion"/>
  </si>
  <si>
    <t>μ</t>
  </si>
  <si>
    <t>剪切应力与剪切速率的比值</t>
    <phoneticPr fontId="1" type="noConversion"/>
  </si>
  <si>
    <t>重力加速度</t>
    <phoneticPr fontId="1" type="noConversion"/>
  </si>
  <si>
    <t>g</t>
    <phoneticPr fontId="1" type="noConversion"/>
  </si>
  <si>
    <t>渗透率</t>
    <phoneticPr fontId="1" type="noConversion"/>
  </si>
  <si>
    <t>k</t>
    <phoneticPr fontId="1" type="noConversion"/>
  </si>
  <si>
    <t>压缩系数</t>
    <phoneticPr fontId="1" type="noConversion"/>
  </si>
  <si>
    <t>C</t>
    <phoneticPr fontId="1" type="noConversion"/>
  </si>
  <si>
    <r>
      <t>Pa</t>
    </r>
    <r>
      <rPr>
        <vertAlign val="superscript"/>
        <sz val="12"/>
        <color theme="1"/>
        <rFont val="黑体"/>
        <family val="3"/>
        <charset val="134"/>
      </rPr>
      <t>-1</t>
    </r>
    <phoneticPr fontId="1" type="noConversion"/>
  </si>
  <si>
    <t>界面张力</t>
    <phoneticPr fontId="1" type="noConversion"/>
  </si>
  <si>
    <t>σ</t>
    <phoneticPr fontId="1" type="noConversion"/>
  </si>
  <si>
    <t>N/m</t>
    <phoneticPr fontId="1" type="noConversion"/>
  </si>
  <si>
    <t>Natural Gas PVT Property</t>
    <phoneticPr fontId="1" type="noConversion"/>
  </si>
  <si>
    <t>SI单位</t>
    <phoneticPr fontId="1" type="noConversion"/>
  </si>
  <si>
    <t>矿场实用单位</t>
    <phoneticPr fontId="1" type="noConversion"/>
  </si>
  <si>
    <t>kg</t>
    <phoneticPr fontId="1" type="noConversion"/>
  </si>
  <si>
    <t>s</t>
    <phoneticPr fontId="1" type="noConversion"/>
  </si>
  <si>
    <t>℃</t>
    <phoneticPr fontId="1" type="noConversion"/>
  </si>
  <si>
    <t>mol</t>
    <phoneticPr fontId="1" type="noConversion"/>
  </si>
  <si>
    <t>MPa</t>
    <phoneticPr fontId="1" type="noConversion"/>
  </si>
  <si>
    <t>Pa.s</t>
    <phoneticPr fontId="1" type="noConversion"/>
  </si>
  <si>
    <t>mPa.s</t>
    <phoneticPr fontId="1" type="noConversion"/>
  </si>
  <si>
    <r>
      <t>m/s</t>
    </r>
    <r>
      <rPr>
        <vertAlign val="superscript"/>
        <sz val="12"/>
        <color theme="1"/>
        <rFont val="黑体"/>
        <family val="3"/>
        <charset val="134"/>
      </rPr>
      <t>2</t>
    </r>
    <r>
      <rPr>
        <sz val="12"/>
        <color theme="1"/>
        <rFont val="黑体"/>
        <family val="3"/>
        <charset val="134"/>
      </rPr>
      <t>，N/kg</t>
    </r>
    <phoneticPr fontId="1" type="noConversion"/>
  </si>
  <si>
    <r>
      <t>m/s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</si>
  <si>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</si>
  <si>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r>
      <t>um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</si>
  <si>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r>
      <t>MPa</t>
    </r>
    <r>
      <rPr>
        <vertAlign val="superscript"/>
        <sz val="12"/>
        <color theme="1"/>
        <rFont val="黑体"/>
        <family val="3"/>
        <charset val="134"/>
      </rPr>
      <t>-1</t>
    </r>
    <phoneticPr fontId="1" type="noConversion"/>
  </si>
  <si>
    <t>Ppc</t>
    <phoneticPr fontId="1" type="noConversion"/>
  </si>
  <si>
    <t>Tpc</t>
    <phoneticPr fontId="1" type="noConversion"/>
  </si>
  <si>
    <t>K</t>
    <phoneticPr fontId="1" type="noConversion"/>
  </si>
  <si>
    <t>Pa</t>
    <phoneticPr fontId="1" type="noConversion"/>
  </si>
  <si>
    <t>℃</t>
    <phoneticPr fontId="1" type="noConversion"/>
  </si>
  <si>
    <t>Ppr</t>
    <phoneticPr fontId="1" type="noConversion"/>
  </si>
  <si>
    <t>Pa/Pa</t>
    <phoneticPr fontId="1" type="noConversion"/>
  </si>
  <si>
    <t>MPa/MPa</t>
    <phoneticPr fontId="1" type="noConversion"/>
  </si>
  <si>
    <t>Tpr</t>
    <phoneticPr fontId="1" type="noConversion"/>
  </si>
  <si>
    <t>K/K</t>
    <phoneticPr fontId="1" type="noConversion"/>
  </si>
  <si>
    <t>GASPVT</t>
    <phoneticPr fontId="1" type="noConversion"/>
  </si>
  <si>
    <t>Rock Property</t>
    <phoneticPr fontId="1" type="noConversion"/>
  </si>
  <si>
    <t>储集层岩石平均孔隙度，小数</t>
    <phoneticPr fontId="1" type="noConversion"/>
  </si>
  <si>
    <t>NaCl：地层水矿化度，%（1%=10000ppm=10000mg/L）</t>
    <phoneticPr fontId="1" type="noConversion"/>
  </si>
  <si>
    <t>Rcwg：凝析水气比，sm^3/sm^3</t>
    <phoneticPr fontId="1" type="noConversion"/>
  </si>
  <si>
    <t>IsDryGas：天然气气类型（true为干气，false为凝析气）</t>
    <phoneticPr fontId="1" type="noConversion"/>
  </si>
  <si>
    <t>T：气藏温度，K</t>
    <phoneticPr fontId="1" type="noConversion"/>
  </si>
  <si>
    <t>P：气藏压力，Pa</t>
    <phoneticPr fontId="1" type="noConversion"/>
  </si>
  <si>
    <t>输入参数</t>
    <phoneticPr fontId="1" type="noConversion"/>
  </si>
  <si>
    <t>数值</t>
    <phoneticPr fontId="1" type="noConversion"/>
  </si>
  <si>
    <t>Z：天然气偏差系数，无因次（DP方法）</t>
    <phoneticPr fontId="1" type="noConversion"/>
  </si>
  <si>
    <t>Z：天然气偏差系数，无因次（DPR方法）</t>
    <phoneticPr fontId="1" type="noConversion"/>
  </si>
  <si>
    <t>Bg：天然气体积系数，rm^3/sm^3</t>
    <phoneticPr fontId="1" type="noConversion"/>
  </si>
  <si>
    <t>ρg：天然气密度，kg/m^3</t>
    <phoneticPr fontId="1" type="noConversion"/>
  </si>
  <si>
    <t>μg：天然气粘度，Pa.s</t>
    <phoneticPr fontId="1" type="noConversion"/>
  </si>
  <si>
    <t>Cg：天然气压缩系数，1/Pa</t>
    <phoneticPr fontId="1" type="noConversion"/>
  </si>
  <si>
    <t>Pp：天然气拟压力，Pa^2/（Pa.s）</t>
    <phoneticPr fontId="1" type="noConversion"/>
  </si>
  <si>
    <t>输出参数</t>
    <phoneticPr fontId="1" type="noConversion"/>
  </si>
  <si>
    <t>数值</t>
    <phoneticPr fontId="1" type="noConversion"/>
  </si>
  <si>
    <t>输出参数</t>
    <phoneticPr fontId="1" type="noConversion"/>
  </si>
  <si>
    <t>P：地层压力，Pa</t>
    <phoneticPr fontId="1" type="noConversion"/>
  </si>
  <si>
    <t>T：地层温度，K</t>
    <phoneticPr fontId="1" type="noConversion"/>
  </si>
  <si>
    <t>NaCl：地层水矿化度，%（1%=10000ppm=10000mg/L）</t>
    <phoneticPr fontId="1" type="noConversion"/>
  </si>
  <si>
    <t>Bw：地层水体积系数，rm^3/sm^3</t>
    <phoneticPr fontId="1" type="noConversion"/>
  </si>
  <si>
    <t>ρw：地层水密度，kg/m^3</t>
    <phoneticPr fontId="1" type="noConversion"/>
  </si>
  <si>
    <t>μw：地层水粘度，Pa.s</t>
    <phoneticPr fontId="1" type="noConversion"/>
  </si>
  <si>
    <t>Cw：地层水压缩系数，1/Pa</t>
    <phoneticPr fontId="1" type="noConversion"/>
  </si>
  <si>
    <t>Rsw：天然气在水中的溶解度，sm^3/sm^3</t>
    <phoneticPr fontId="1" type="noConversion"/>
  </si>
  <si>
    <t>Rcwg：凝析水气比，sm^3/sm^3</t>
    <phoneticPr fontId="1" type="noConversion"/>
  </si>
  <si>
    <t>Water PVT Property</t>
    <phoneticPr fontId="1" type="noConversion"/>
  </si>
  <si>
    <t>输入参数</t>
    <phoneticPr fontId="1" type="noConversion"/>
  </si>
  <si>
    <t>数值</t>
    <phoneticPr fontId="1" type="noConversion"/>
  </si>
  <si>
    <t>岩石（孔隙体积）的压缩系数，1/Pa   [Newman，1973，Sandstone]</t>
    <phoneticPr fontId="1" type="noConversion"/>
  </si>
  <si>
    <t>岩石（孔隙体积）的压缩系数，1/Pa   [Newman，1973，Limestone]</t>
    <phoneticPr fontId="1" type="noConversion"/>
  </si>
  <si>
    <t>YCO2：CO2摩尔分数，f</t>
    <phoneticPr fontId="1" type="noConversion"/>
  </si>
  <si>
    <t>YH2S：H2S摩尔分数，f</t>
    <phoneticPr fontId="1" type="noConversion"/>
  </si>
  <si>
    <t>γg：天然气相对密度，Dless</t>
    <phoneticPr fontId="1" type="noConversion"/>
  </si>
  <si>
    <t>YN2：N2摩尔分数，f</t>
    <phoneticPr fontId="1" type="noConversion"/>
  </si>
  <si>
    <t>（选这种方法）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</si>
</sst>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_ "/>
    <numFmt numFmtId="177" formatCode="0.00_ "/>
    <numFmt numFmtId="178" formatCode="0.0000E+00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黑体"/>
      <family val="3"/>
      <charset val="134"/>
    </font>
    <font>
      <i/>
      <sz val="12"/>
      <color theme="1"/>
      <name val="黑体"/>
      <family val="3"/>
      <charset val="134"/>
    </font>
    <font>
      <sz val="12"/>
      <color rgb="FFFF0000"/>
      <name val="黑体"/>
      <family val="3"/>
      <charset val="134"/>
    </font>
    <font>
      <i/>
      <sz val="12"/>
      <color rgb="FFFF0000"/>
      <name val="黑体"/>
      <family val="3"/>
      <charset val="134"/>
    </font>
    <font>
      <sz val="12"/>
      <color rgb="FF000000"/>
      <name val="黑体"/>
      <family val="3"/>
      <charset val="134"/>
    </font>
    <font>
      <vertAlign val="superscript"/>
      <sz val="12"/>
      <color rgb="FF000000"/>
      <name val="黑体"/>
      <family val="3"/>
      <charset val="134"/>
    </font>
    <font>
      <vertAlign val="superscript"/>
      <sz val="12"/>
      <color theme="1"/>
      <name val="黑体"/>
      <family val="3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rgb="FFFF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readingOrder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9" fillId="2" borderId="0" xfId="0" applyFont="1" applyFill="1">
      <alignment vertical="center"/>
    </xf>
    <xf numFmtId="0" fontId="9" fillId="2" borderId="0" xfId="0" applyFont="1" applyFill="1" applyBorder="1">
      <alignment vertical="center"/>
    </xf>
    <xf numFmtId="0" fontId="9" fillId="2" borderId="0" xfId="0" applyFont="1" applyFill="1" applyAlignment="1">
      <alignment vertical="center" wrapText="1"/>
    </xf>
    <xf numFmtId="176" fontId="9" fillId="2" borderId="2" xfId="0" applyNumberFormat="1" applyFont="1" applyFill="1" applyBorder="1" applyAlignment="1">
      <alignment horizontal="right" vertical="center"/>
    </xf>
    <xf numFmtId="176" fontId="9" fillId="2" borderId="0" xfId="0" applyNumberFormat="1" applyFont="1" applyFill="1">
      <alignment vertical="center"/>
    </xf>
    <xf numFmtId="177" fontId="9" fillId="2" borderId="0" xfId="0" applyNumberFormat="1" applyFont="1" applyFill="1">
      <alignment vertical="center"/>
    </xf>
    <xf numFmtId="176" fontId="10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0" fillId="2" borderId="0" xfId="0" applyFont="1" applyFill="1">
      <alignment vertical="center"/>
    </xf>
    <xf numFmtId="176" fontId="10" fillId="2" borderId="0" xfId="0" applyNumberFormat="1" applyFont="1" applyFill="1">
      <alignment vertical="center"/>
    </xf>
    <xf numFmtId="178" fontId="10" fillId="2" borderId="0" xfId="0" applyNumberFormat="1" applyFont="1" applyFill="1">
      <alignment vertical="center"/>
    </xf>
    <xf numFmtId="0" fontId="9" fillId="0" borderId="0" xfId="0" applyFont="1">
      <alignment vertical="center"/>
    </xf>
    <xf numFmtId="176" fontId="10" fillId="2" borderId="2" xfId="0" applyNumberFormat="1" applyFont="1" applyFill="1" applyBorder="1" applyAlignment="1">
      <alignment vertical="center"/>
    </xf>
    <xf numFmtId="178" fontId="9" fillId="2" borderId="2" xfId="0" applyNumberFormat="1" applyFont="1" applyFill="1" applyBorder="1" applyAlignment="1">
      <alignment horizontal="right" vertical="center"/>
    </xf>
    <xf numFmtId="11" fontId="9" fillId="0" borderId="0" xfId="0" applyNumberFormat="1" applyFont="1">
      <alignment vertical="center"/>
    </xf>
    <xf numFmtId="178" fontId="10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10" fillId="3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 wrapText="1"/>
    </xf>
    <xf numFmtId="0" fontId="11" fillId="2" borderId="0" xfId="0" applyFont="1" applyFill="1">
      <alignment vertical="center"/>
    </xf>
    <xf numFmtId="0" fontId="10" fillId="4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7030A0"/>
  </sheetPr>
  <dimension ref="B1:H31"/>
  <sheetViews>
    <sheetView workbookViewId="0">
      <selection activeCell="D38" sqref="D38"/>
    </sheetView>
  </sheetViews>
  <sheetFormatPr defaultColWidth="9" defaultRowHeight="16.5" customHeight="1" x14ac:dyDescent="0.25"/>
  <cols>
    <col min="1" max="1" width="3" style="3" customWidth="1"/>
    <col min="2" max="3" width="11.5546875" style="1" bestFit="1" customWidth="1"/>
    <col min="4" max="4" width="11.5546875" style="1" customWidth="1"/>
    <col min="5" max="5" width="11" style="1" bestFit="1" customWidth="1"/>
    <col min="6" max="6" width="18.88671875" style="1" customWidth="1"/>
    <col min="7" max="7" width="17.88671875" style="3" customWidth="1"/>
    <col min="8" max="8" width="27.21875" style="1" bestFit="1" customWidth="1"/>
    <col min="9" max="9" width="9" style="3"/>
    <col min="10" max="10" width="9.44140625" style="3" bestFit="1" customWidth="1"/>
    <col min="11" max="16384" width="9" style="3"/>
  </cols>
  <sheetData>
    <row r="1" spans="2:8" ht="16.5" customHeight="1" x14ac:dyDescent="0.25">
      <c r="D1" s="28"/>
      <c r="E1" s="28" t="s">
        <v>76</v>
      </c>
      <c r="F1" s="1" t="s">
        <v>77</v>
      </c>
      <c r="H1" s="28"/>
    </row>
    <row r="2" spans="2:8" ht="16.5" customHeight="1" x14ac:dyDescent="0.25">
      <c r="B2" s="1" t="s">
        <v>0</v>
      </c>
      <c r="C2" s="2" t="s">
        <v>1</v>
      </c>
      <c r="D2" s="2" t="s">
        <v>2</v>
      </c>
      <c r="E2" s="2" t="s">
        <v>3</v>
      </c>
      <c r="F2" s="2" t="s">
        <v>3</v>
      </c>
      <c r="H2" s="1" t="s">
        <v>4</v>
      </c>
    </row>
    <row r="3" spans="2:8" ht="16.5" customHeight="1" x14ac:dyDescent="0.25">
      <c r="B3" s="1" t="s">
        <v>5</v>
      </c>
      <c r="C3" s="4" t="s">
        <v>6</v>
      </c>
      <c r="D3" s="1" t="s">
        <v>7</v>
      </c>
      <c r="E3" s="1" t="s">
        <v>9</v>
      </c>
      <c r="F3" s="1" t="s">
        <v>8</v>
      </c>
    </row>
    <row r="4" spans="2:8" ht="16.5" customHeight="1" x14ac:dyDescent="0.25">
      <c r="B4" s="1" t="s">
        <v>10</v>
      </c>
      <c r="C4" s="4" t="s">
        <v>9</v>
      </c>
      <c r="D4" s="1" t="s">
        <v>11</v>
      </c>
      <c r="E4" s="1" t="s">
        <v>12</v>
      </c>
      <c r="F4" s="1" t="s">
        <v>78</v>
      </c>
    </row>
    <row r="5" spans="2:8" ht="16.5" customHeight="1" x14ac:dyDescent="0.25">
      <c r="B5" s="1" t="s">
        <v>13</v>
      </c>
      <c r="C5" s="4" t="s">
        <v>14</v>
      </c>
      <c r="D5" s="1" t="s">
        <v>15</v>
      </c>
      <c r="E5" s="1" t="s">
        <v>16</v>
      </c>
      <c r="F5" s="1" t="s">
        <v>79</v>
      </c>
    </row>
    <row r="6" spans="2:8" ht="16.5" customHeight="1" x14ac:dyDescent="0.25">
      <c r="B6" s="1" t="s">
        <v>17</v>
      </c>
      <c r="C6" s="4" t="s">
        <v>18</v>
      </c>
      <c r="D6" s="1" t="s">
        <v>19</v>
      </c>
      <c r="E6" s="1" t="s">
        <v>20</v>
      </c>
      <c r="F6" s="1" t="s">
        <v>80</v>
      </c>
    </row>
    <row r="7" spans="2:8" ht="16.5" customHeight="1" x14ac:dyDescent="0.25">
      <c r="B7" s="1" t="s">
        <v>21</v>
      </c>
      <c r="C7" s="4" t="s">
        <v>22</v>
      </c>
      <c r="D7" s="1" t="s">
        <v>23</v>
      </c>
      <c r="E7" s="1" t="s">
        <v>24</v>
      </c>
      <c r="F7" s="1" t="s">
        <v>81</v>
      </c>
    </row>
    <row r="8" spans="2:8" s="7" customFormat="1" ht="16.5" customHeight="1" x14ac:dyDescent="0.25">
      <c r="B8" s="5" t="s">
        <v>25</v>
      </c>
      <c r="C8" s="6" t="s">
        <v>26</v>
      </c>
      <c r="D8" s="5" t="s">
        <v>27</v>
      </c>
      <c r="E8" s="5" t="s">
        <v>28</v>
      </c>
      <c r="F8" s="5"/>
      <c r="H8" s="5"/>
    </row>
    <row r="9" spans="2:8" s="7" customFormat="1" ht="16.5" customHeight="1" x14ac:dyDescent="0.25">
      <c r="B9" s="5" t="s">
        <v>29</v>
      </c>
      <c r="C9" s="6" t="s">
        <v>30</v>
      </c>
      <c r="D9" s="5" t="s">
        <v>31</v>
      </c>
      <c r="E9" s="5" t="s">
        <v>32</v>
      </c>
      <c r="F9" s="5"/>
      <c r="H9" s="5"/>
    </row>
    <row r="10" spans="2:8" s="7" customFormat="1" ht="16.5" customHeight="1" x14ac:dyDescent="0.25">
      <c r="B10" s="5"/>
      <c r="C10" s="6"/>
      <c r="D10" s="5"/>
      <c r="E10" s="5"/>
      <c r="F10" s="5"/>
      <c r="H10" s="5"/>
    </row>
    <row r="11" spans="2:8" ht="16.5" customHeight="1" x14ac:dyDescent="0.25">
      <c r="B11" s="1" t="s">
        <v>33</v>
      </c>
      <c r="C11" s="4" t="s">
        <v>34</v>
      </c>
      <c r="D11" s="1" t="s">
        <v>35</v>
      </c>
      <c r="E11" s="1" t="s">
        <v>36</v>
      </c>
      <c r="F11" s="1" t="s">
        <v>36</v>
      </c>
      <c r="H11" s="8" t="s">
        <v>37</v>
      </c>
    </row>
    <row r="12" spans="2:8" ht="16.5" customHeight="1" x14ac:dyDescent="0.25">
      <c r="B12" s="1" t="s">
        <v>38</v>
      </c>
      <c r="C12" s="4" t="s">
        <v>39</v>
      </c>
      <c r="D12" s="1" t="s">
        <v>40</v>
      </c>
      <c r="E12" s="1" t="s">
        <v>41</v>
      </c>
      <c r="F12" s="1" t="s">
        <v>82</v>
      </c>
      <c r="H12" s="9" t="s">
        <v>42</v>
      </c>
    </row>
    <row r="13" spans="2:8" ht="16.5" customHeight="1" x14ac:dyDescent="0.25">
      <c r="B13" s="2" t="s">
        <v>43</v>
      </c>
      <c r="C13" s="4" t="s">
        <v>44</v>
      </c>
      <c r="D13" s="1" t="s">
        <v>45</v>
      </c>
      <c r="E13" s="1" t="s">
        <v>46</v>
      </c>
      <c r="H13" s="10" t="s">
        <v>47</v>
      </c>
    </row>
    <row r="14" spans="2:8" ht="16.5" customHeight="1" x14ac:dyDescent="0.25">
      <c r="B14" s="1" t="s">
        <v>48</v>
      </c>
      <c r="C14" s="4" t="s">
        <v>28</v>
      </c>
      <c r="E14" s="1" t="s">
        <v>49</v>
      </c>
      <c r="F14" s="1" t="s">
        <v>49</v>
      </c>
    </row>
    <row r="15" spans="2:8" ht="16.5" customHeight="1" x14ac:dyDescent="0.25">
      <c r="B15" s="1" t="s">
        <v>50</v>
      </c>
      <c r="C15" s="4" t="s">
        <v>51</v>
      </c>
      <c r="E15" s="1" t="s">
        <v>52</v>
      </c>
      <c r="F15" s="1" t="s">
        <v>52</v>
      </c>
    </row>
    <row r="16" spans="2:8" ht="16.5" customHeight="1" x14ac:dyDescent="0.25">
      <c r="B16" s="1" t="s">
        <v>53</v>
      </c>
      <c r="C16" s="4" t="s">
        <v>54</v>
      </c>
      <c r="E16" s="1" t="s">
        <v>55</v>
      </c>
      <c r="F16" s="1" t="s">
        <v>55</v>
      </c>
    </row>
    <row r="17" spans="2:8" ht="16.5" customHeight="1" x14ac:dyDescent="0.25">
      <c r="B17" s="1" t="s">
        <v>56</v>
      </c>
      <c r="C17" s="4" t="s">
        <v>57</v>
      </c>
      <c r="E17" s="1" t="s">
        <v>58</v>
      </c>
      <c r="F17" s="1" t="s">
        <v>58</v>
      </c>
    </row>
    <row r="18" spans="2:8" ht="16.5" customHeight="1" x14ac:dyDescent="0.25">
      <c r="B18" s="1" t="s">
        <v>59</v>
      </c>
      <c r="C18" s="4" t="s">
        <v>60</v>
      </c>
      <c r="E18" s="1" t="s">
        <v>61</v>
      </c>
      <c r="F18" s="1" t="s">
        <v>61</v>
      </c>
    </row>
    <row r="19" spans="2:8" ht="16.5" customHeight="1" x14ac:dyDescent="0.25">
      <c r="B19" s="1" t="s">
        <v>62</v>
      </c>
      <c r="C19" s="4" t="s">
        <v>63</v>
      </c>
      <c r="E19" s="1" t="s">
        <v>83</v>
      </c>
      <c r="F19" s="1" t="s">
        <v>84</v>
      </c>
      <c r="H19" s="11" t="s">
        <v>64</v>
      </c>
    </row>
    <row r="20" spans="2:8" ht="16.5" customHeight="1" x14ac:dyDescent="0.25">
      <c r="B20" s="1" t="s">
        <v>65</v>
      </c>
      <c r="C20" s="4" t="s">
        <v>66</v>
      </c>
      <c r="E20" s="1" t="s">
        <v>85</v>
      </c>
      <c r="F20" s="1" t="s">
        <v>86</v>
      </c>
    </row>
    <row r="21" spans="2:8" ht="16.5" customHeight="1" x14ac:dyDescent="0.25">
      <c r="B21" s="1" t="s">
        <v>67</v>
      </c>
      <c r="C21" s="4" t="s">
        <v>68</v>
      </c>
      <c r="E21" s="1" t="s">
        <v>87</v>
      </c>
      <c r="F21" s="1" t="s">
        <v>88</v>
      </c>
    </row>
    <row r="22" spans="2:8" ht="16.5" customHeight="1" x14ac:dyDescent="0.25">
      <c r="B22" s="1" t="s">
        <v>69</v>
      </c>
      <c r="C22" s="4" t="s">
        <v>70</v>
      </c>
      <c r="E22" s="1" t="s">
        <v>71</v>
      </c>
      <c r="F22" s="1" t="s">
        <v>89</v>
      </c>
    </row>
    <row r="23" spans="2:8" ht="16.5" customHeight="1" x14ac:dyDescent="0.25">
      <c r="B23" s="1" t="s">
        <v>72</v>
      </c>
      <c r="C23" s="1" t="s">
        <v>73</v>
      </c>
      <c r="E23" s="1" t="s">
        <v>74</v>
      </c>
      <c r="F23" s="1" t="s">
        <v>74</v>
      </c>
    </row>
    <row r="24" spans="2:8" ht="16.5" customHeight="1" x14ac:dyDescent="0.25">
      <c r="B24" s="19"/>
      <c r="C24" s="19"/>
      <c r="D24" s="19"/>
      <c r="E24" s="19"/>
      <c r="F24" s="19"/>
      <c r="H24" s="19"/>
    </row>
    <row r="25" spans="2:8" ht="16.5" customHeight="1" x14ac:dyDescent="0.25">
      <c r="B25" s="19"/>
      <c r="C25" s="19"/>
      <c r="D25" s="19"/>
      <c r="E25" s="19"/>
      <c r="F25" s="19"/>
      <c r="H25" s="19"/>
    </row>
    <row r="26" spans="2:8" ht="16.5" customHeight="1" x14ac:dyDescent="0.25">
      <c r="B26" s="19"/>
      <c r="C26" s="19"/>
      <c r="D26" s="19"/>
      <c r="E26" s="19"/>
      <c r="F26" s="19"/>
      <c r="H26" s="19"/>
    </row>
    <row r="27" spans="2:8" ht="16.5" customHeight="1" x14ac:dyDescent="0.25">
      <c r="B27" s="19"/>
      <c r="C27" s="19"/>
      <c r="D27" s="19"/>
      <c r="E27" s="19"/>
      <c r="F27" s="19"/>
      <c r="H27" s="19"/>
    </row>
    <row r="28" spans="2:8" ht="16.5" customHeight="1" x14ac:dyDescent="0.25">
      <c r="B28" s="1" t="s">
        <v>100</v>
      </c>
      <c r="C28" s="5" t="s">
        <v>90</v>
      </c>
      <c r="D28" s="5"/>
      <c r="E28" s="5" t="s">
        <v>93</v>
      </c>
      <c r="F28" s="1" t="s">
        <v>82</v>
      </c>
    </row>
    <row r="29" spans="2:8" ht="16.5" customHeight="1" x14ac:dyDescent="0.25">
      <c r="B29" s="19" t="s">
        <v>100</v>
      </c>
      <c r="C29" s="5" t="s">
        <v>91</v>
      </c>
      <c r="D29" s="5"/>
      <c r="E29" s="5" t="s">
        <v>92</v>
      </c>
      <c r="F29" s="1" t="s">
        <v>94</v>
      </c>
    </row>
    <row r="30" spans="2:8" ht="16.5" customHeight="1" x14ac:dyDescent="0.25">
      <c r="B30" s="19" t="s">
        <v>100</v>
      </c>
      <c r="C30" s="5" t="s">
        <v>95</v>
      </c>
      <c r="D30" s="5"/>
      <c r="E30" s="5" t="s">
        <v>96</v>
      </c>
      <c r="F30" s="1" t="s">
        <v>97</v>
      </c>
    </row>
    <row r="31" spans="2:8" ht="16.5" customHeight="1" x14ac:dyDescent="0.25">
      <c r="B31" s="19" t="s">
        <v>100</v>
      </c>
      <c r="C31" s="5" t="s">
        <v>98</v>
      </c>
      <c r="D31" s="5"/>
      <c r="E31" s="5" t="s">
        <v>99</v>
      </c>
      <c r="F31" s="1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5" tint="0.39997558519241921"/>
    <pageSetUpPr fitToPage="1"/>
  </sheetPr>
  <dimension ref="A1:P207"/>
  <sheetViews>
    <sheetView showGridLines="0" tabSelected="1" zoomScaleNormal="100" workbookViewId="0">
      <selection activeCell="L17" sqref="L17"/>
    </sheetView>
  </sheetViews>
  <sheetFormatPr defaultColWidth="15.5546875" defaultRowHeight="15" x14ac:dyDescent="0.25"/>
  <cols>
    <col min="1" max="1" width="3.109375" style="12" customWidth="1"/>
    <col min="2" max="2" width="59.109375" style="12" bestFit="1" customWidth="1"/>
    <col min="3" max="3" width="26.33203125" style="12" customWidth="1"/>
    <col min="4" max="16384" width="15.5546875" style="12"/>
  </cols>
  <sheetData>
    <row r="1" spans="1:16" ht="15.6" x14ac:dyDescent="0.25">
      <c r="B1" s="31" t="s">
        <v>75</v>
      </c>
    </row>
    <row r="2" spans="1:16" x14ac:dyDescent="0.25">
      <c r="B2" s="32" t="s">
        <v>130</v>
      </c>
      <c r="C2" s="32" t="s">
        <v>131</v>
      </c>
      <c r="D2" s="13"/>
    </row>
    <row r="3" spans="1:16" s="14" customFormat="1" x14ac:dyDescent="0.25">
      <c r="B3" s="29" t="s">
        <v>105</v>
      </c>
      <c r="C3" s="15" t="b">
        <v>1</v>
      </c>
    </row>
    <row r="4" spans="1:16" s="14" customFormat="1" x14ac:dyDescent="0.25">
      <c r="B4" s="29" t="s">
        <v>136</v>
      </c>
      <c r="C4" s="15">
        <v>0.58899999999999997</v>
      </c>
    </row>
    <row r="5" spans="1:16" s="14" customFormat="1" x14ac:dyDescent="0.25">
      <c r="B5" s="29" t="s">
        <v>134</v>
      </c>
      <c r="C5" s="15">
        <v>1.2200000000000001E-2</v>
      </c>
    </row>
    <row r="6" spans="1:16" s="14" customFormat="1" x14ac:dyDescent="0.25">
      <c r="B6" s="29" t="s">
        <v>135</v>
      </c>
      <c r="C6" s="15">
        <v>6.4000000000000003E-3</v>
      </c>
    </row>
    <row r="7" spans="1:16" s="14" customFormat="1" x14ac:dyDescent="0.25">
      <c r="B7" s="29" t="s">
        <v>137</v>
      </c>
      <c r="C7" s="15">
        <v>0.01</v>
      </c>
      <c r="J7"/>
      <c r="K7"/>
      <c r="M7"/>
    </row>
    <row r="8" spans="1:16" x14ac:dyDescent="0.25">
      <c r="B8" s="29" t="s">
        <v>106</v>
      </c>
      <c r="C8" s="15">
        <f>140+273.15</f>
        <v>413.15</v>
      </c>
      <c r="J8"/>
      <c r="K8"/>
      <c r="L8" s="14"/>
      <c r="M8"/>
      <c r="N8" s="14"/>
      <c r="O8" s="14"/>
      <c r="P8" s="14"/>
    </row>
    <row r="9" spans="1:16" x14ac:dyDescent="0.25">
      <c r="B9" s="29" t="s">
        <v>107</v>
      </c>
      <c r="C9" s="15">
        <f>76*1000000</f>
        <v>76000000</v>
      </c>
      <c r="J9"/>
      <c r="K9"/>
      <c r="L9" s="14"/>
      <c r="M9"/>
      <c r="N9" s="14"/>
      <c r="O9" s="14"/>
      <c r="P9" s="14"/>
    </row>
    <row r="10" spans="1:16" x14ac:dyDescent="0.25">
      <c r="A10" s="16"/>
      <c r="B10" s="30" t="s">
        <v>103</v>
      </c>
      <c r="C10" s="18">
        <v>100000</v>
      </c>
      <c r="E10" s="17"/>
      <c r="F10" s="17"/>
      <c r="G10" s="17"/>
      <c r="H10" s="17"/>
      <c r="I10" s="17"/>
      <c r="J10"/>
      <c r="K10"/>
      <c r="L10" s="14"/>
      <c r="M10"/>
      <c r="N10" s="14"/>
      <c r="O10" s="14"/>
      <c r="P10" s="14"/>
    </row>
    <row r="11" spans="1:16" x14ac:dyDescent="0.25">
      <c r="A11" s="16"/>
      <c r="B11" s="32" t="s">
        <v>117</v>
      </c>
      <c r="C11" s="32" t="s">
        <v>118</v>
      </c>
      <c r="E11" s="17"/>
      <c r="F11" s="17"/>
      <c r="G11" s="17"/>
      <c r="H11" s="17"/>
      <c r="I11" s="17"/>
      <c r="J11"/>
      <c r="K11"/>
      <c r="L11" s="14"/>
      <c r="M11"/>
      <c r="N11" s="14"/>
      <c r="O11" s="14"/>
      <c r="P11" s="14"/>
    </row>
    <row r="12" spans="1:16" x14ac:dyDescent="0.25">
      <c r="A12" s="16"/>
      <c r="B12" s="29" t="s">
        <v>110</v>
      </c>
      <c r="C12" s="18">
        <f>GASPVTZ(C3,C4,C5,C6,C7,C8,C9)</f>
        <v>1.4463354124268453</v>
      </c>
      <c r="D12" s="12" t="s">
        <v>138</v>
      </c>
      <c r="E12" s="17"/>
      <c r="F12" s="17"/>
      <c r="G12" s="17"/>
      <c r="H12" s="17"/>
      <c r="I12" s="17"/>
      <c r="J12"/>
      <c r="K12"/>
      <c r="L12" s="14"/>
      <c r="M12"/>
      <c r="N12" s="14"/>
      <c r="O12" s="14"/>
      <c r="P12" s="14"/>
    </row>
    <row r="13" spans="1:16" x14ac:dyDescent="0.25">
      <c r="A13" s="16"/>
      <c r="B13" s="29" t="s">
        <v>111</v>
      </c>
      <c r="C13" s="18">
        <f>GASPVTZ1(C3,C4,C5,C6,C7,C8,C9)</f>
        <v>1.4465007357155806</v>
      </c>
      <c r="E13" s="17"/>
      <c r="F13" s="17"/>
      <c r="G13" s="17"/>
      <c r="H13" s="17"/>
      <c r="I13" s="17"/>
      <c r="J13"/>
      <c r="K13"/>
      <c r="L13" s="14"/>
      <c r="M13"/>
      <c r="N13" s="14"/>
      <c r="O13" s="14"/>
      <c r="P13" s="14"/>
    </row>
    <row r="14" spans="1:16" x14ac:dyDescent="0.25">
      <c r="A14" s="16"/>
      <c r="B14" s="29" t="s">
        <v>112</v>
      </c>
      <c r="C14" s="18">
        <f>GASPVTBG(C3,C4,C5,C6,C7,C8,C9)</f>
        <v>2.7176273113119569E-3</v>
      </c>
      <c r="E14" s="17"/>
      <c r="F14" s="17"/>
      <c r="G14" s="17"/>
      <c r="H14" s="17"/>
      <c r="I14" s="17"/>
      <c r="J14"/>
      <c r="K14"/>
      <c r="L14" s="14"/>
      <c r="M14"/>
      <c r="N14" s="14"/>
      <c r="O14" s="14"/>
      <c r="P14" s="14"/>
    </row>
    <row r="15" spans="1:16" x14ac:dyDescent="0.25">
      <c r="A15" s="16"/>
      <c r="B15" s="29" t="s">
        <v>113</v>
      </c>
      <c r="C15" s="18">
        <f>GASPVTDEN(C3,C4,C5,C6,C7,C8,C9)</f>
        <v>260.99870465099985</v>
      </c>
      <c r="E15" s="17"/>
      <c r="F15" s="17"/>
      <c r="G15" s="17"/>
      <c r="H15" s="17"/>
      <c r="I15" s="17"/>
      <c r="J15"/>
      <c r="K15"/>
      <c r="L15" s="14"/>
      <c r="M15"/>
      <c r="N15" s="14"/>
      <c r="O15" s="14"/>
      <c r="P15" s="14"/>
    </row>
    <row r="16" spans="1:16" x14ac:dyDescent="0.25">
      <c r="A16" s="16"/>
      <c r="B16" s="29" t="s">
        <v>114</v>
      </c>
      <c r="C16" s="27">
        <f>GASPVTVIS(C3,C4,C5,C6,C7,C8,C9)</f>
        <v>3.3124378925043934E-5</v>
      </c>
      <c r="E16" s="17"/>
      <c r="F16" s="17"/>
      <c r="G16" s="17"/>
      <c r="H16" s="17"/>
      <c r="I16" s="17"/>
      <c r="J16"/>
      <c r="K16"/>
      <c r="L16" s="14"/>
      <c r="M16"/>
      <c r="N16" s="14"/>
      <c r="O16" s="14"/>
      <c r="P16" s="14"/>
    </row>
    <row r="17" spans="1:16" x14ac:dyDescent="0.25">
      <c r="A17" s="16"/>
      <c r="B17" s="29" t="s">
        <v>115</v>
      </c>
      <c r="C17" s="27">
        <f>GASPVTCG(C3,C4,C5,C6,C7,C8,C9)</f>
        <v>6.0588104206125433E-9</v>
      </c>
      <c r="E17" s="17"/>
      <c r="F17" s="17"/>
      <c r="G17" s="17"/>
      <c r="H17" s="17"/>
      <c r="I17" s="17"/>
      <c r="J17"/>
      <c r="K17"/>
      <c r="L17" s="14"/>
      <c r="M17"/>
      <c r="N17" s="14"/>
      <c r="O17" s="14"/>
      <c r="P17" s="14"/>
    </row>
    <row r="18" spans="1:16" x14ac:dyDescent="0.25">
      <c r="A18" s="16"/>
      <c r="B18" s="29" t="s">
        <v>116</v>
      </c>
      <c r="C18" s="27">
        <f>gaspvtpp(C3,C4,C5,C6,C7,C8,C9)</f>
        <v>1.9008045115762318E+20</v>
      </c>
      <c r="E18" s="17"/>
      <c r="F18" s="17"/>
      <c r="G18" s="17"/>
      <c r="H18" s="17"/>
      <c r="I18" s="17"/>
      <c r="J18"/>
      <c r="K18"/>
      <c r="L18" s="14"/>
      <c r="M18"/>
      <c r="N18" s="14"/>
      <c r="O18" s="14"/>
      <c r="P18" s="14"/>
    </row>
    <row r="19" spans="1:16" x14ac:dyDescent="0.25">
      <c r="A19" s="16"/>
      <c r="B19" s="29" t="s">
        <v>104</v>
      </c>
      <c r="C19" s="27">
        <f>GASPVTCWGR(C9,C8,C10)</f>
        <v>-8.5818294548164733</v>
      </c>
      <c r="E19" s="17"/>
      <c r="F19" s="17"/>
      <c r="G19" s="17"/>
      <c r="H19" s="17"/>
      <c r="I19" s="17"/>
      <c r="J19"/>
      <c r="K19"/>
      <c r="L19" s="14"/>
      <c r="M19"/>
      <c r="N19" s="14"/>
      <c r="O19" s="14"/>
      <c r="P19" s="14"/>
    </row>
    <row r="20" spans="1:16" x14ac:dyDescent="0.25">
      <c r="F20" s="17"/>
      <c r="G20" s="17"/>
      <c r="H20" s="17"/>
      <c r="I20" s="17"/>
      <c r="J20"/>
      <c r="K20"/>
      <c r="L20" s="14"/>
      <c r="M20"/>
      <c r="N20" s="14"/>
      <c r="O20" s="14"/>
      <c r="P20" s="14"/>
    </row>
    <row r="21" spans="1:16" x14ac:dyDescent="0.25">
      <c r="F21" s="17"/>
      <c r="G21" s="17"/>
      <c r="H21" s="17"/>
      <c r="I21" s="17"/>
      <c r="J21"/>
      <c r="K21"/>
      <c r="L21" s="14"/>
      <c r="M21"/>
      <c r="N21" s="14"/>
      <c r="O21" s="14"/>
      <c r="P21" s="14"/>
    </row>
    <row r="22" spans="1:16" x14ac:dyDescent="0.25">
      <c r="F22" s="17"/>
      <c r="G22" s="17"/>
      <c r="H22" s="17"/>
      <c r="I22" s="17"/>
      <c r="J22"/>
      <c r="K22"/>
      <c r="L22" s="14"/>
      <c r="M22"/>
      <c r="N22" s="14"/>
      <c r="O22" s="14"/>
      <c r="P22" s="14"/>
    </row>
    <row r="23" spans="1:16" x14ac:dyDescent="0.25">
      <c r="F23" s="17"/>
      <c r="G23" s="17"/>
      <c r="H23" s="17"/>
      <c r="I23" s="17"/>
      <c r="J23"/>
      <c r="K23"/>
      <c r="L23" s="14"/>
      <c r="M23"/>
      <c r="N23" s="14"/>
      <c r="O23" s="14"/>
      <c r="P23" s="14"/>
    </row>
    <row r="24" spans="1:16" x14ac:dyDescent="0.25">
      <c r="F24" s="17"/>
      <c r="G24" s="17"/>
      <c r="H24" s="17"/>
      <c r="I24" s="17"/>
      <c r="J24"/>
      <c r="K24"/>
      <c r="L24" s="14"/>
      <c r="M24"/>
      <c r="N24" s="14"/>
      <c r="O24" s="14"/>
      <c r="P24" s="14"/>
    </row>
    <row r="25" spans="1:16" x14ac:dyDescent="0.25">
      <c r="F25" s="17"/>
      <c r="G25" s="17"/>
      <c r="H25" s="17"/>
      <c r="I25" s="17"/>
      <c r="J25"/>
      <c r="K25"/>
      <c r="L25" s="14"/>
      <c r="M25"/>
      <c r="N25" s="14"/>
      <c r="O25" s="14"/>
      <c r="P25" s="14"/>
    </row>
    <row r="26" spans="1:16" x14ac:dyDescent="0.25">
      <c r="F26" s="17"/>
      <c r="G26" s="17"/>
      <c r="H26" s="17"/>
      <c r="I26" s="17"/>
      <c r="J26"/>
      <c r="K26"/>
      <c r="L26" s="14"/>
      <c r="M26"/>
      <c r="N26" s="14"/>
      <c r="O26" s="14"/>
      <c r="P26" s="14"/>
    </row>
    <row r="27" spans="1:16" x14ac:dyDescent="0.25">
      <c r="F27" s="17"/>
      <c r="G27" s="17"/>
      <c r="H27" s="17"/>
      <c r="I27" s="17"/>
      <c r="J27"/>
      <c r="K27"/>
      <c r="L27" s="14"/>
      <c r="M27"/>
      <c r="N27" s="14"/>
      <c r="O27" s="14"/>
      <c r="P27" s="14"/>
    </row>
    <row r="28" spans="1:16" x14ac:dyDescent="0.25">
      <c r="F28" s="17"/>
      <c r="G28" s="17"/>
      <c r="H28" s="17"/>
      <c r="I28" s="17"/>
      <c r="J28"/>
      <c r="K28"/>
      <c r="L28" s="14"/>
      <c r="M28"/>
      <c r="N28" s="14"/>
      <c r="O28" s="14"/>
      <c r="P28" s="14"/>
    </row>
    <row r="29" spans="1:16" x14ac:dyDescent="0.25">
      <c r="F29" s="17"/>
      <c r="G29" s="17"/>
      <c r="H29" s="17"/>
      <c r="I29" s="17"/>
      <c r="J29"/>
      <c r="K29"/>
      <c r="L29" s="14"/>
      <c r="M29"/>
      <c r="N29" s="14"/>
      <c r="O29" s="14"/>
      <c r="P29" s="14"/>
    </row>
    <row r="30" spans="1:16" x14ac:dyDescent="0.25">
      <c r="F30" s="17"/>
      <c r="G30" s="17"/>
      <c r="H30" s="17"/>
      <c r="I30" s="17"/>
      <c r="J30"/>
      <c r="K30"/>
      <c r="L30" s="14"/>
      <c r="M30"/>
      <c r="N30" s="14"/>
      <c r="O30" s="14"/>
      <c r="P30" s="14"/>
    </row>
    <row r="31" spans="1:16" x14ac:dyDescent="0.25">
      <c r="F31" s="17"/>
      <c r="G31" s="17"/>
      <c r="H31" s="17"/>
      <c r="I31" s="17"/>
      <c r="J31"/>
      <c r="K31"/>
      <c r="L31" s="14"/>
      <c r="M31"/>
      <c r="N31" s="14"/>
      <c r="O31" s="14"/>
      <c r="P31" s="14"/>
    </row>
    <row r="32" spans="1:16" x14ac:dyDescent="0.25">
      <c r="F32" s="17"/>
      <c r="G32" s="17"/>
      <c r="H32" s="17"/>
      <c r="I32" s="17"/>
      <c r="J32"/>
      <c r="K32"/>
      <c r="L32" s="14"/>
      <c r="M32"/>
      <c r="N32" s="14"/>
      <c r="O32" s="14"/>
      <c r="P32" s="14"/>
    </row>
    <row r="33" spans="6:16" x14ac:dyDescent="0.25">
      <c r="F33" s="17"/>
      <c r="G33" s="17"/>
      <c r="H33" s="17"/>
      <c r="I33" s="17"/>
      <c r="J33"/>
      <c r="K33"/>
      <c r="L33" s="14"/>
      <c r="M33"/>
      <c r="N33" s="14"/>
      <c r="O33" s="14"/>
      <c r="P33" s="14"/>
    </row>
    <row r="34" spans="6:16" x14ac:dyDescent="0.25">
      <c r="F34" s="17"/>
      <c r="G34" s="17"/>
      <c r="H34" s="17"/>
      <c r="I34" s="17"/>
      <c r="J34"/>
      <c r="K34"/>
      <c r="L34" s="14"/>
      <c r="M34"/>
      <c r="N34" s="14"/>
      <c r="O34" s="14"/>
      <c r="P34" s="14"/>
    </row>
    <row r="35" spans="6:16" x14ac:dyDescent="0.25">
      <c r="F35" s="17"/>
      <c r="G35" s="17"/>
      <c r="H35" s="17"/>
      <c r="I35" s="17"/>
      <c r="J35"/>
      <c r="K35"/>
      <c r="L35" s="14"/>
      <c r="M35"/>
      <c r="N35" s="14"/>
      <c r="O35" s="14"/>
      <c r="P35" s="14"/>
    </row>
    <row r="36" spans="6:16" x14ac:dyDescent="0.25">
      <c r="F36" s="17"/>
      <c r="G36" s="17"/>
      <c r="H36" s="17"/>
      <c r="I36" s="17"/>
      <c r="J36"/>
      <c r="K36"/>
      <c r="L36" s="14"/>
      <c r="M36"/>
      <c r="N36" s="14"/>
      <c r="O36" s="14"/>
      <c r="P36" s="14"/>
    </row>
    <row r="37" spans="6:16" x14ac:dyDescent="0.25">
      <c r="F37" s="17"/>
      <c r="G37" s="17"/>
      <c r="H37" s="17"/>
      <c r="I37" s="17"/>
      <c r="J37"/>
      <c r="K37"/>
      <c r="L37" s="14"/>
      <c r="M37"/>
      <c r="N37" s="14"/>
      <c r="O37" s="14"/>
      <c r="P37" s="14"/>
    </row>
    <row r="38" spans="6:16" x14ac:dyDescent="0.25">
      <c r="F38" s="17"/>
      <c r="G38" s="17"/>
      <c r="H38" s="17"/>
      <c r="I38" s="17"/>
      <c r="J38"/>
      <c r="K38"/>
      <c r="L38" s="14"/>
      <c r="M38"/>
      <c r="N38" s="14"/>
      <c r="O38" s="14"/>
      <c r="P38" s="14"/>
    </row>
    <row r="39" spans="6:16" x14ac:dyDescent="0.25">
      <c r="F39" s="17"/>
      <c r="G39" s="17"/>
      <c r="H39" s="17"/>
      <c r="I39" s="17"/>
      <c r="J39"/>
      <c r="K39"/>
      <c r="L39" s="14"/>
      <c r="M39"/>
      <c r="N39" s="14"/>
      <c r="O39" s="14"/>
      <c r="P39" s="14"/>
    </row>
    <row r="40" spans="6:16" x14ac:dyDescent="0.25">
      <c r="F40" s="17"/>
      <c r="G40" s="17"/>
      <c r="H40" s="17"/>
      <c r="I40" s="17"/>
      <c r="J40"/>
      <c r="K40"/>
      <c r="L40" s="14"/>
      <c r="M40"/>
      <c r="N40" s="14"/>
      <c r="O40" s="14"/>
      <c r="P40" s="14"/>
    </row>
    <row r="41" spans="6:16" x14ac:dyDescent="0.25">
      <c r="F41" s="17"/>
      <c r="G41" s="17"/>
      <c r="H41" s="17"/>
      <c r="I41" s="17"/>
      <c r="J41"/>
      <c r="K41"/>
      <c r="L41" s="14"/>
      <c r="M41"/>
      <c r="N41" s="14"/>
      <c r="O41" s="14"/>
      <c r="P41" s="14"/>
    </row>
    <row r="42" spans="6:16" x14ac:dyDescent="0.25">
      <c r="F42" s="17"/>
      <c r="G42" s="17"/>
      <c r="H42" s="17"/>
      <c r="I42" s="17"/>
      <c r="J42"/>
      <c r="K42"/>
      <c r="L42" s="14"/>
      <c r="M42"/>
      <c r="N42" s="14"/>
      <c r="O42" s="14"/>
      <c r="P42" s="14"/>
    </row>
    <row r="43" spans="6:16" x14ac:dyDescent="0.25">
      <c r="F43" s="17"/>
      <c r="G43" s="17"/>
      <c r="H43" s="17"/>
      <c r="I43" s="17"/>
      <c r="J43"/>
      <c r="K43"/>
      <c r="L43" s="14"/>
      <c r="M43"/>
      <c r="N43" s="14"/>
      <c r="O43" s="14"/>
      <c r="P43" s="14"/>
    </row>
    <row r="44" spans="6:16" x14ac:dyDescent="0.25">
      <c r="F44" s="17"/>
      <c r="G44" s="17"/>
      <c r="H44" s="17"/>
      <c r="I44" s="17"/>
      <c r="J44"/>
      <c r="K44"/>
      <c r="L44" s="14"/>
      <c r="M44"/>
      <c r="N44" s="14"/>
      <c r="O44" s="14"/>
      <c r="P44" s="14"/>
    </row>
    <row r="45" spans="6:16" x14ac:dyDescent="0.25">
      <c r="F45" s="17"/>
      <c r="G45" s="17"/>
      <c r="H45" s="17"/>
      <c r="I45" s="17"/>
      <c r="J45"/>
      <c r="K45"/>
      <c r="L45" s="14"/>
      <c r="M45"/>
      <c r="N45" s="14"/>
      <c r="O45" s="14"/>
      <c r="P45" s="14"/>
    </row>
    <row r="46" spans="6:16" x14ac:dyDescent="0.25">
      <c r="F46" s="17"/>
      <c r="G46" s="17"/>
      <c r="H46" s="17"/>
      <c r="I46" s="17"/>
      <c r="J46"/>
      <c r="K46"/>
      <c r="L46" s="14"/>
      <c r="M46"/>
      <c r="N46" s="14"/>
      <c r="O46" s="14"/>
      <c r="P46" s="14"/>
    </row>
    <row r="47" spans="6:16" x14ac:dyDescent="0.25">
      <c r="F47" s="17"/>
      <c r="G47" s="17"/>
      <c r="H47" s="17"/>
      <c r="I47" s="17"/>
      <c r="J47"/>
      <c r="K47"/>
      <c r="L47" s="14"/>
      <c r="M47"/>
      <c r="N47" s="14"/>
      <c r="O47" s="14"/>
      <c r="P47" s="14"/>
    </row>
    <row r="48" spans="6:16" x14ac:dyDescent="0.25">
      <c r="F48" s="17"/>
      <c r="G48" s="17"/>
      <c r="H48" s="17"/>
      <c r="I48" s="17"/>
      <c r="J48"/>
      <c r="K48"/>
      <c r="L48" s="14"/>
      <c r="M48"/>
      <c r="N48" s="14"/>
      <c r="O48" s="14"/>
      <c r="P48" s="14"/>
    </row>
    <row r="49" spans="6:16" x14ac:dyDescent="0.25">
      <c r="F49" s="17"/>
      <c r="G49" s="17"/>
      <c r="H49" s="17"/>
      <c r="I49" s="17"/>
      <c r="J49"/>
      <c r="K49"/>
      <c r="L49" s="14"/>
      <c r="M49"/>
      <c r="N49" s="14"/>
      <c r="O49" s="14"/>
      <c r="P49" s="14"/>
    </row>
    <row r="50" spans="6:16" x14ac:dyDescent="0.25">
      <c r="F50" s="17"/>
      <c r="G50" s="17"/>
      <c r="H50" s="17"/>
      <c r="I50" s="17"/>
      <c r="J50"/>
      <c r="K50"/>
      <c r="L50" s="14"/>
      <c r="M50"/>
      <c r="N50" s="14"/>
      <c r="O50" s="14"/>
      <c r="P50" s="14"/>
    </row>
    <row r="51" spans="6:16" x14ac:dyDescent="0.25">
      <c r="F51" s="17"/>
      <c r="G51" s="17"/>
      <c r="H51" s="17"/>
      <c r="I51" s="17"/>
      <c r="J51"/>
      <c r="K51"/>
      <c r="L51" s="14"/>
      <c r="M51"/>
      <c r="N51" s="14"/>
      <c r="O51" s="14"/>
      <c r="P51" s="14"/>
    </row>
    <row r="52" spans="6:16" x14ac:dyDescent="0.25">
      <c r="F52" s="17"/>
      <c r="G52" s="17"/>
      <c r="H52" s="17"/>
      <c r="I52" s="17"/>
      <c r="J52"/>
      <c r="K52"/>
      <c r="L52" s="14"/>
      <c r="M52"/>
      <c r="N52" s="14"/>
      <c r="O52" s="14"/>
      <c r="P52" s="14"/>
    </row>
    <row r="53" spans="6:16" x14ac:dyDescent="0.25">
      <c r="F53" s="17"/>
      <c r="G53" s="17"/>
      <c r="H53" s="17"/>
      <c r="I53" s="17"/>
      <c r="J53"/>
      <c r="K53"/>
      <c r="L53" s="14"/>
      <c r="M53"/>
      <c r="N53" s="14"/>
      <c r="O53" s="14"/>
      <c r="P53" s="14"/>
    </row>
    <row r="54" spans="6:16" x14ac:dyDescent="0.25">
      <c r="F54" s="17"/>
      <c r="G54" s="17"/>
      <c r="H54" s="17"/>
      <c r="I54" s="17"/>
      <c r="J54"/>
      <c r="K54"/>
      <c r="L54" s="14"/>
      <c r="M54"/>
      <c r="N54" s="14"/>
      <c r="O54" s="14"/>
      <c r="P54" s="14"/>
    </row>
    <row r="55" spans="6:16" x14ac:dyDescent="0.25">
      <c r="F55" s="17"/>
      <c r="G55" s="17"/>
      <c r="H55" s="17"/>
      <c r="I55" s="17"/>
      <c r="J55"/>
      <c r="K55"/>
      <c r="L55" s="14"/>
      <c r="M55"/>
      <c r="N55" s="14"/>
      <c r="O55" s="14"/>
      <c r="P55" s="14"/>
    </row>
    <row r="56" spans="6:16" x14ac:dyDescent="0.25">
      <c r="F56" s="17"/>
      <c r="G56" s="17"/>
      <c r="H56" s="17"/>
      <c r="I56" s="17"/>
      <c r="J56"/>
      <c r="K56"/>
      <c r="L56" s="14"/>
      <c r="M56"/>
      <c r="N56" s="14"/>
      <c r="O56" s="14"/>
      <c r="P56" s="14"/>
    </row>
    <row r="57" spans="6:16" x14ac:dyDescent="0.25">
      <c r="F57" s="17"/>
      <c r="G57" s="17"/>
      <c r="H57" s="17"/>
      <c r="I57" s="17"/>
      <c r="J57"/>
      <c r="K57"/>
      <c r="L57" s="14"/>
      <c r="M57"/>
      <c r="N57" s="14"/>
      <c r="O57" s="14"/>
      <c r="P57" s="14"/>
    </row>
    <row r="58" spans="6:16" x14ac:dyDescent="0.25">
      <c r="F58" s="17"/>
      <c r="G58" s="17"/>
      <c r="H58" s="17"/>
      <c r="I58" s="17"/>
      <c r="J58"/>
      <c r="K58"/>
      <c r="L58" s="14"/>
      <c r="M58"/>
      <c r="N58" s="14"/>
      <c r="O58" s="14"/>
      <c r="P58" s="14"/>
    </row>
    <row r="59" spans="6:16" x14ac:dyDescent="0.25">
      <c r="F59" s="17"/>
      <c r="G59" s="17"/>
      <c r="H59" s="17"/>
      <c r="I59" s="17"/>
      <c r="J59"/>
      <c r="K59"/>
      <c r="L59" s="14"/>
      <c r="M59"/>
      <c r="N59" s="14"/>
      <c r="O59" s="14"/>
      <c r="P59" s="14"/>
    </row>
    <row r="60" spans="6:16" x14ac:dyDescent="0.25">
      <c r="F60" s="17"/>
      <c r="G60" s="17"/>
      <c r="H60" s="17"/>
      <c r="I60" s="17"/>
      <c r="J60"/>
      <c r="K60"/>
      <c r="L60" s="14"/>
      <c r="M60"/>
      <c r="N60" s="14"/>
      <c r="O60" s="14"/>
      <c r="P60" s="14"/>
    </row>
    <row r="61" spans="6:16" x14ac:dyDescent="0.25">
      <c r="F61" s="17"/>
      <c r="G61" s="17"/>
      <c r="H61" s="17"/>
      <c r="I61" s="17"/>
      <c r="J61"/>
      <c r="K61"/>
      <c r="L61" s="14"/>
      <c r="M61"/>
      <c r="N61" s="14"/>
      <c r="O61" s="14"/>
      <c r="P61" s="14"/>
    </row>
    <row r="62" spans="6:16" x14ac:dyDescent="0.25">
      <c r="F62" s="17"/>
      <c r="G62" s="17"/>
      <c r="H62" s="17"/>
      <c r="I62" s="17"/>
      <c r="J62"/>
      <c r="K62"/>
      <c r="L62" s="14"/>
      <c r="M62"/>
      <c r="N62" s="14"/>
      <c r="O62" s="14"/>
      <c r="P62" s="14"/>
    </row>
    <row r="63" spans="6:16" x14ac:dyDescent="0.25">
      <c r="F63" s="17"/>
      <c r="G63" s="17"/>
      <c r="H63" s="17"/>
      <c r="I63" s="17"/>
      <c r="J63"/>
      <c r="K63"/>
      <c r="L63" s="14"/>
      <c r="M63"/>
      <c r="N63" s="14"/>
      <c r="O63" s="14"/>
      <c r="P63" s="14"/>
    </row>
    <row r="64" spans="6:16" x14ac:dyDescent="0.25">
      <c r="F64" s="17"/>
      <c r="G64" s="17"/>
      <c r="H64" s="17"/>
      <c r="I64" s="17"/>
      <c r="J64"/>
      <c r="K64"/>
      <c r="L64" s="14"/>
      <c r="M64"/>
      <c r="N64" s="14"/>
      <c r="O64" s="14"/>
      <c r="P64" s="14"/>
    </row>
    <row r="65" spans="6:16" x14ac:dyDescent="0.25">
      <c r="F65" s="17"/>
      <c r="G65" s="17"/>
      <c r="H65" s="17"/>
      <c r="I65" s="17"/>
      <c r="J65"/>
      <c r="K65"/>
      <c r="L65" s="14"/>
      <c r="M65"/>
      <c r="N65" s="14"/>
      <c r="O65" s="14"/>
      <c r="P65" s="14"/>
    </row>
    <row r="66" spans="6:16" x14ac:dyDescent="0.25">
      <c r="F66" s="17"/>
      <c r="G66" s="17"/>
      <c r="H66" s="17"/>
      <c r="I66" s="17"/>
      <c r="J66"/>
      <c r="K66"/>
      <c r="L66" s="14"/>
      <c r="M66"/>
      <c r="N66" s="14"/>
      <c r="O66" s="14"/>
      <c r="P66" s="14"/>
    </row>
    <row r="67" spans="6:16" x14ac:dyDescent="0.25">
      <c r="F67" s="17"/>
      <c r="G67" s="17"/>
      <c r="H67" s="17"/>
      <c r="I67" s="17"/>
      <c r="J67"/>
      <c r="K67"/>
      <c r="L67" s="14"/>
      <c r="M67"/>
      <c r="N67" s="14"/>
      <c r="O67" s="14"/>
      <c r="P67" s="14"/>
    </row>
    <row r="68" spans="6:16" x14ac:dyDescent="0.25">
      <c r="F68" s="17"/>
      <c r="G68" s="17"/>
      <c r="H68" s="17"/>
      <c r="I68" s="17"/>
      <c r="J68"/>
      <c r="K68"/>
      <c r="L68" s="14"/>
      <c r="M68"/>
      <c r="N68" s="14"/>
      <c r="O68" s="14"/>
      <c r="P68" s="14"/>
    </row>
    <row r="69" spans="6:16" x14ac:dyDescent="0.25">
      <c r="F69" s="17"/>
      <c r="G69" s="17"/>
      <c r="H69" s="17"/>
      <c r="I69" s="17"/>
      <c r="J69"/>
      <c r="K69"/>
      <c r="L69" s="14"/>
      <c r="M69"/>
      <c r="N69" s="14"/>
      <c r="O69" s="14"/>
      <c r="P69" s="14"/>
    </row>
    <row r="70" spans="6:16" x14ac:dyDescent="0.25">
      <c r="F70" s="17"/>
      <c r="G70" s="17"/>
      <c r="H70" s="17"/>
      <c r="I70" s="17"/>
      <c r="J70"/>
      <c r="K70"/>
      <c r="L70" s="14"/>
      <c r="M70"/>
      <c r="N70" s="14"/>
      <c r="O70" s="14"/>
      <c r="P70" s="14"/>
    </row>
    <row r="71" spans="6:16" x14ac:dyDescent="0.25">
      <c r="F71" s="17"/>
      <c r="G71" s="17"/>
      <c r="H71" s="17"/>
      <c r="I71" s="17"/>
      <c r="J71"/>
      <c r="K71"/>
      <c r="L71" s="14"/>
      <c r="M71"/>
      <c r="N71" s="14"/>
      <c r="O71" s="14"/>
      <c r="P71" s="14"/>
    </row>
    <row r="72" spans="6:16" x14ac:dyDescent="0.25">
      <c r="F72" s="17"/>
      <c r="G72" s="17"/>
      <c r="H72" s="17"/>
      <c r="I72" s="17"/>
      <c r="J72"/>
      <c r="K72"/>
      <c r="L72" s="14"/>
      <c r="M72"/>
      <c r="N72" s="14"/>
      <c r="O72" s="14"/>
      <c r="P72" s="14"/>
    </row>
    <row r="73" spans="6:16" x14ac:dyDescent="0.25">
      <c r="F73" s="17"/>
      <c r="G73" s="17"/>
      <c r="H73" s="17"/>
      <c r="I73" s="17"/>
      <c r="J73"/>
      <c r="K73"/>
      <c r="L73" s="14"/>
      <c r="M73"/>
      <c r="N73" s="14"/>
      <c r="O73" s="14"/>
      <c r="P73" s="14"/>
    </row>
    <row r="74" spans="6:16" x14ac:dyDescent="0.25">
      <c r="F74" s="17"/>
      <c r="G74" s="17"/>
      <c r="H74" s="17"/>
      <c r="I74" s="17"/>
      <c r="J74"/>
      <c r="K74"/>
      <c r="L74" s="14"/>
      <c r="M74"/>
      <c r="N74" s="14"/>
      <c r="O74" s="14"/>
      <c r="P74" s="14"/>
    </row>
    <row r="75" spans="6:16" x14ac:dyDescent="0.25">
      <c r="F75" s="17"/>
      <c r="G75" s="17"/>
      <c r="H75" s="17"/>
      <c r="I75" s="17"/>
      <c r="J75"/>
      <c r="K75"/>
      <c r="L75" s="14"/>
      <c r="M75"/>
      <c r="N75" s="14"/>
      <c r="O75" s="14"/>
      <c r="P75" s="14"/>
    </row>
    <row r="76" spans="6:16" x14ac:dyDescent="0.25">
      <c r="F76" s="17"/>
      <c r="G76" s="17"/>
      <c r="H76" s="17"/>
      <c r="I76" s="17"/>
      <c r="J76"/>
      <c r="K76"/>
      <c r="L76" s="14"/>
      <c r="M76"/>
      <c r="N76" s="14"/>
      <c r="O76" s="14"/>
      <c r="P76" s="14"/>
    </row>
    <row r="77" spans="6:16" x14ac:dyDescent="0.25">
      <c r="F77" s="17"/>
      <c r="G77" s="17"/>
      <c r="H77" s="17"/>
      <c r="I77" s="17"/>
      <c r="J77"/>
      <c r="K77"/>
      <c r="L77" s="14"/>
      <c r="M77"/>
      <c r="N77" s="14"/>
      <c r="O77" s="14"/>
      <c r="P77" s="14"/>
    </row>
    <row r="78" spans="6:16" x14ac:dyDescent="0.25">
      <c r="F78" s="17"/>
      <c r="G78" s="17"/>
      <c r="H78" s="17"/>
      <c r="I78" s="17"/>
      <c r="J78"/>
      <c r="K78"/>
      <c r="L78" s="14"/>
      <c r="M78"/>
      <c r="N78" s="14"/>
      <c r="O78" s="14"/>
      <c r="P78" s="14"/>
    </row>
    <row r="79" spans="6:16" x14ac:dyDescent="0.25">
      <c r="F79" s="17"/>
      <c r="G79" s="17"/>
      <c r="H79" s="17"/>
      <c r="I79" s="17"/>
      <c r="J79"/>
      <c r="K79"/>
      <c r="L79" s="14"/>
      <c r="M79"/>
      <c r="N79" s="14"/>
      <c r="O79" s="14"/>
      <c r="P79" s="14"/>
    </row>
    <row r="80" spans="6:16" x14ac:dyDescent="0.25">
      <c r="F80" s="17"/>
      <c r="G80" s="17"/>
      <c r="H80" s="17"/>
      <c r="I80" s="17"/>
      <c r="J80"/>
      <c r="K80"/>
      <c r="L80" s="14"/>
      <c r="M80"/>
      <c r="N80" s="14"/>
      <c r="O80" s="14"/>
      <c r="P80" s="14"/>
    </row>
    <row r="81" spans="6:16" x14ac:dyDescent="0.25">
      <c r="F81" s="17"/>
      <c r="G81" s="17"/>
      <c r="H81" s="17"/>
      <c r="I81" s="17"/>
      <c r="J81"/>
      <c r="K81"/>
      <c r="L81" s="14"/>
      <c r="M81"/>
      <c r="N81" s="14"/>
      <c r="O81" s="14"/>
      <c r="P81" s="14"/>
    </row>
    <row r="82" spans="6:16" x14ac:dyDescent="0.25">
      <c r="F82" s="17"/>
      <c r="G82" s="17"/>
      <c r="H82" s="17"/>
      <c r="I82" s="17"/>
      <c r="J82"/>
      <c r="K82"/>
      <c r="L82" s="14"/>
      <c r="M82"/>
      <c r="N82" s="14"/>
      <c r="O82" s="14"/>
      <c r="P82" s="14"/>
    </row>
    <row r="83" spans="6:16" x14ac:dyDescent="0.25">
      <c r="F83" s="17"/>
      <c r="G83" s="17"/>
      <c r="H83" s="17"/>
      <c r="I83" s="17"/>
      <c r="J83"/>
      <c r="K83"/>
      <c r="L83" s="14"/>
      <c r="M83"/>
      <c r="N83" s="14"/>
      <c r="O83" s="14"/>
      <c r="P83" s="14"/>
    </row>
    <row r="84" spans="6:16" x14ac:dyDescent="0.25">
      <c r="F84" s="17"/>
      <c r="G84" s="17"/>
      <c r="H84" s="17"/>
      <c r="I84" s="17"/>
      <c r="J84"/>
      <c r="K84"/>
      <c r="L84" s="14"/>
      <c r="M84"/>
      <c r="N84" s="14"/>
      <c r="O84" s="14"/>
      <c r="P84" s="14"/>
    </row>
    <row r="85" spans="6:16" x14ac:dyDescent="0.25">
      <c r="F85" s="17"/>
      <c r="G85" s="17"/>
      <c r="H85" s="17"/>
      <c r="I85" s="17"/>
      <c r="J85"/>
      <c r="K85"/>
      <c r="L85" s="14"/>
      <c r="M85"/>
      <c r="N85" s="14"/>
      <c r="O85" s="14"/>
      <c r="P85" s="14"/>
    </row>
    <row r="86" spans="6:16" x14ac:dyDescent="0.25">
      <c r="F86" s="17"/>
      <c r="G86" s="17"/>
      <c r="H86" s="17"/>
      <c r="I86" s="17"/>
      <c r="J86"/>
      <c r="K86"/>
      <c r="L86" s="14"/>
      <c r="M86"/>
      <c r="N86" s="14"/>
      <c r="O86" s="14"/>
      <c r="P86" s="14"/>
    </row>
    <row r="87" spans="6:16" x14ac:dyDescent="0.25">
      <c r="F87" s="17"/>
      <c r="G87" s="17"/>
      <c r="H87" s="17"/>
      <c r="I87" s="17"/>
      <c r="J87"/>
      <c r="K87"/>
      <c r="L87" s="14"/>
      <c r="M87"/>
      <c r="N87" s="14"/>
      <c r="O87" s="14"/>
      <c r="P87" s="14"/>
    </row>
    <row r="88" spans="6:16" x14ac:dyDescent="0.25">
      <c r="F88" s="17"/>
      <c r="G88" s="17"/>
      <c r="H88" s="17"/>
      <c r="I88" s="17"/>
      <c r="J88"/>
      <c r="K88"/>
      <c r="L88" s="14"/>
      <c r="M88"/>
      <c r="N88" s="14"/>
      <c r="O88" s="14"/>
      <c r="P88" s="14"/>
    </row>
    <row r="89" spans="6:16" x14ac:dyDescent="0.25">
      <c r="F89" s="17"/>
      <c r="G89" s="17"/>
      <c r="H89" s="17"/>
      <c r="I89" s="17"/>
      <c r="J89"/>
      <c r="K89"/>
      <c r="L89" s="14"/>
      <c r="M89"/>
      <c r="N89" s="14"/>
      <c r="O89" s="14"/>
      <c r="P89" s="14"/>
    </row>
    <row r="90" spans="6:16" x14ac:dyDescent="0.25">
      <c r="F90" s="17"/>
      <c r="G90" s="17"/>
      <c r="H90" s="17"/>
      <c r="I90" s="17"/>
      <c r="J90"/>
      <c r="K90"/>
      <c r="L90" s="14"/>
      <c r="M90"/>
      <c r="N90" s="14"/>
      <c r="O90" s="14"/>
      <c r="P90" s="14"/>
    </row>
    <row r="91" spans="6:16" x14ac:dyDescent="0.25">
      <c r="F91" s="17"/>
      <c r="G91" s="17"/>
      <c r="H91" s="17"/>
      <c r="I91" s="17"/>
      <c r="J91"/>
      <c r="K91"/>
      <c r="L91" s="14"/>
      <c r="M91"/>
      <c r="N91" s="14"/>
      <c r="O91" s="14"/>
      <c r="P91" s="14"/>
    </row>
    <row r="92" spans="6:16" x14ac:dyDescent="0.25">
      <c r="F92" s="17"/>
      <c r="G92" s="17"/>
      <c r="H92" s="17"/>
      <c r="I92" s="17"/>
      <c r="J92"/>
      <c r="K92"/>
      <c r="L92" s="14"/>
      <c r="M92"/>
      <c r="N92" s="14"/>
      <c r="O92" s="14"/>
      <c r="P92" s="14"/>
    </row>
    <row r="93" spans="6:16" x14ac:dyDescent="0.25">
      <c r="F93" s="17"/>
      <c r="G93" s="17"/>
      <c r="H93" s="17"/>
      <c r="I93" s="17"/>
      <c r="J93"/>
      <c r="K93"/>
      <c r="L93" s="14"/>
      <c r="M93"/>
      <c r="N93" s="14"/>
      <c r="O93" s="14"/>
      <c r="P93" s="14"/>
    </row>
    <row r="94" spans="6:16" x14ac:dyDescent="0.25">
      <c r="F94" s="17"/>
      <c r="G94" s="17"/>
      <c r="H94" s="17"/>
      <c r="I94" s="17"/>
      <c r="J94"/>
      <c r="K94"/>
      <c r="L94" s="14"/>
      <c r="M94"/>
      <c r="N94" s="14"/>
      <c r="O94" s="14"/>
      <c r="P94" s="14"/>
    </row>
    <row r="95" spans="6:16" x14ac:dyDescent="0.25">
      <c r="F95" s="17"/>
      <c r="G95" s="17"/>
      <c r="H95" s="17"/>
      <c r="I95" s="17"/>
      <c r="J95"/>
      <c r="K95"/>
      <c r="L95" s="14"/>
      <c r="M95"/>
      <c r="N95" s="14"/>
      <c r="O95" s="14"/>
      <c r="P95" s="14"/>
    </row>
    <row r="96" spans="6:16" x14ac:dyDescent="0.25">
      <c r="F96" s="17"/>
      <c r="G96" s="17"/>
      <c r="H96" s="17"/>
      <c r="I96" s="17"/>
      <c r="J96"/>
      <c r="K96"/>
      <c r="L96" s="14"/>
      <c r="M96"/>
      <c r="N96" s="14"/>
      <c r="O96" s="14"/>
      <c r="P96" s="14"/>
    </row>
    <row r="97" spans="6:16" x14ac:dyDescent="0.25">
      <c r="F97" s="17"/>
      <c r="G97" s="17"/>
      <c r="H97" s="17"/>
      <c r="I97" s="17"/>
      <c r="J97"/>
      <c r="K97"/>
      <c r="L97" s="14"/>
      <c r="M97"/>
      <c r="N97" s="14"/>
      <c r="O97" s="14"/>
      <c r="P97" s="14"/>
    </row>
    <row r="98" spans="6:16" x14ac:dyDescent="0.25">
      <c r="F98" s="17"/>
      <c r="G98" s="17"/>
      <c r="H98" s="17"/>
      <c r="I98" s="17"/>
      <c r="J98"/>
      <c r="K98"/>
      <c r="L98" s="14"/>
      <c r="M98"/>
      <c r="N98" s="14"/>
      <c r="O98" s="14"/>
      <c r="P98" s="14"/>
    </row>
    <row r="99" spans="6:16" x14ac:dyDescent="0.25">
      <c r="F99" s="17"/>
      <c r="G99" s="17"/>
      <c r="H99" s="17"/>
      <c r="I99" s="17"/>
      <c r="J99"/>
      <c r="K99"/>
      <c r="L99" s="14"/>
      <c r="M99"/>
      <c r="N99" s="14"/>
      <c r="O99" s="14"/>
      <c r="P99" s="14"/>
    </row>
    <row r="100" spans="6:16" x14ac:dyDescent="0.25">
      <c r="F100" s="17"/>
      <c r="G100" s="17"/>
      <c r="H100" s="17"/>
      <c r="I100" s="17"/>
      <c r="J100"/>
      <c r="K100"/>
      <c r="L100" s="14"/>
      <c r="M100"/>
      <c r="N100" s="14"/>
      <c r="O100" s="14"/>
      <c r="P100" s="14"/>
    </row>
    <row r="101" spans="6:16" x14ac:dyDescent="0.25">
      <c r="F101" s="17"/>
      <c r="G101" s="17"/>
      <c r="H101" s="17"/>
      <c r="I101" s="17"/>
      <c r="J101"/>
      <c r="K101"/>
      <c r="L101" s="14"/>
      <c r="M101"/>
      <c r="N101" s="14"/>
      <c r="O101" s="14"/>
      <c r="P101" s="14"/>
    </row>
    <row r="102" spans="6:16" x14ac:dyDescent="0.25">
      <c r="F102" s="17"/>
      <c r="G102" s="17"/>
      <c r="H102" s="17"/>
      <c r="I102" s="17"/>
      <c r="J102"/>
      <c r="K102"/>
      <c r="L102" s="14"/>
      <c r="M102"/>
      <c r="N102" s="14"/>
      <c r="O102" s="14"/>
      <c r="P102" s="14"/>
    </row>
    <row r="103" spans="6:16" x14ac:dyDescent="0.25">
      <c r="F103" s="17"/>
      <c r="G103" s="17"/>
      <c r="H103" s="17"/>
      <c r="I103" s="17"/>
      <c r="J103"/>
      <c r="K103"/>
      <c r="L103" s="14"/>
      <c r="M103"/>
      <c r="N103" s="14"/>
      <c r="O103" s="14"/>
      <c r="P103" s="14"/>
    </row>
    <row r="104" spans="6:16" x14ac:dyDescent="0.25">
      <c r="F104" s="17"/>
      <c r="G104" s="17"/>
      <c r="H104" s="17"/>
      <c r="I104" s="17"/>
      <c r="J104"/>
      <c r="K104"/>
      <c r="L104" s="14"/>
      <c r="M104"/>
      <c r="N104" s="14"/>
      <c r="O104" s="14"/>
      <c r="P104" s="14"/>
    </row>
    <row r="105" spans="6:16" x14ac:dyDescent="0.25">
      <c r="F105" s="17"/>
      <c r="G105" s="17"/>
      <c r="H105" s="17"/>
      <c r="I105" s="17"/>
      <c r="J105"/>
      <c r="K105"/>
      <c r="L105" s="14"/>
      <c r="M105"/>
      <c r="N105" s="14"/>
      <c r="O105" s="14"/>
      <c r="P105" s="14"/>
    </row>
    <row r="106" spans="6:16" x14ac:dyDescent="0.25">
      <c r="F106" s="17"/>
      <c r="G106" s="17"/>
      <c r="H106" s="17"/>
      <c r="I106" s="17"/>
      <c r="J106"/>
      <c r="K106"/>
      <c r="L106" s="14"/>
      <c r="M106"/>
      <c r="N106" s="14"/>
      <c r="O106" s="14"/>
      <c r="P106" s="14"/>
    </row>
    <row r="107" spans="6:16" x14ac:dyDescent="0.25">
      <c r="F107" s="17"/>
      <c r="G107" s="17"/>
      <c r="H107" s="17"/>
      <c r="I107" s="17"/>
      <c r="J107"/>
      <c r="K107"/>
      <c r="L107" s="14"/>
      <c r="M107"/>
      <c r="N107" s="14"/>
      <c r="O107" s="14"/>
      <c r="P107" s="14"/>
    </row>
    <row r="108" spans="6:16" x14ac:dyDescent="0.25">
      <c r="F108" s="17"/>
      <c r="G108" s="17"/>
      <c r="H108" s="17"/>
      <c r="I108" s="17"/>
      <c r="J108"/>
      <c r="K108"/>
      <c r="L108" s="14"/>
      <c r="M108"/>
      <c r="N108" s="14"/>
      <c r="O108" s="14"/>
      <c r="P108" s="14"/>
    </row>
    <row r="109" spans="6:16" x14ac:dyDescent="0.25">
      <c r="F109" s="17"/>
      <c r="G109" s="17"/>
      <c r="H109" s="17"/>
      <c r="I109" s="17"/>
      <c r="J109"/>
      <c r="K109"/>
      <c r="L109" s="14"/>
      <c r="M109"/>
      <c r="N109" s="14"/>
      <c r="O109" s="14"/>
      <c r="P109" s="14"/>
    </row>
    <row r="110" spans="6:16" x14ac:dyDescent="0.25">
      <c r="F110" s="17"/>
      <c r="G110" s="17"/>
      <c r="H110" s="17"/>
      <c r="I110" s="17"/>
      <c r="J110"/>
      <c r="K110"/>
      <c r="L110" s="14"/>
      <c r="M110"/>
      <c r="N110" s="14"/>
      <c r="O110" s="14"/>
      <c r="P110" s="14"/>
    </row>
    <row r="111" spans="6:16" x14ac:dyDescent="0.25">
      <c r="F111" s="17"/>
      <c r="G111" s="17"/>
      <c r="H111" s="17"/>
      <c r="I111" s="17"/>
      <c r="J111"/>
      <c r="K111"/>
      <c r="L111" s="14"/>
      <c r="M111"/>
      <c r="N111" s="14"/>
      <c r="O111" s="14"/>
      <c r="P111" s="14"/>
    </row>
    <row r="112" spans="6:16" x14ac:dyDescent="0.25">
      <c r="F112" s="17"/>
      <c r="G112" s="17"/>
      <c r="H112" s="17"/>
      <c r="I112" s="17"/>
      <c r="J112"/>
      <c r="K112"/>
      <c r="L112" s="14"/>
      <c r="M112"/>
      <c r="N112" s="14"/>
      <c r="O112" s="14"/>
      <c r="P112" s="14"/>
    </row>
    <row r="113" spans="6:16" x14ac:dyDescent="0.25">
      <c r="F113" s="17"/>
      <c r="G113" s="17"/>
      <c r="H113" s="17"/>
      <c r="I113" s="17"/>
      <c r="J113"/>
      <c r="K113"/>
      <c r="L113" s="14"/>
      <c r="M113"/>
      <c r="N113" s="14"/>
      <c r="O113" s="14"/>
      <c r="P113" s="14"/>
    </row>
    <row r="114" spans="6:16" x14ac:dyDescent="0.25">
      <c r="F114" s="17"/>
      <c r="G114" s="17"/>
      <c r="H114" s="17"/>
      <c r="I114" s="17"/>
      <c r="J114"/>
      <c r="K114"/>
      <c r="L114" s="14"/>
      <c r="M114"/>
      <c r="N114" s="14"/>
      <c r="O114" s="14"/>
      <c r="P114" s="14"/>
    </row>
    <row r="115" spans="6:16" x14ac:dyDescent="0.25">
      <c r="F115" s="17"/>
      <c r="G115" s="17"/>
      <c r="H115" s="17"/>
      <c r="I115" s="17"/>
      <c r="J115"/>
      <c r="K115"/>
      <c r="L115" s="14"/>
      <c r="M115"/>
      <c r="N115" s="14"/>
      <c r="O115" s="14"/>
      <c r="P115" s="14"/>
    </row>
    <row r="116" spans="6:16" x14ac:dyDescent="0.25">
      <c r="F116" s="17"/>
      <c r="G116" s="17"/>
      <c r="H116" s="17"/>
      <c r="I116" s="17"/>
      <c r="J116"/>
      <c r="K116"/>
      <c r="L116" s="14"/>
      <c r="M116"/>
      <c r="N116" s="14"/>
      <c r="O116" s="14"/>
      <c r="P116" s="14"/>
    </row>
    <row r="117" spans="6:16" x14ac:dyDescent="0.25">
      <c r="F117" s="17"/>
      <c r="G117" s="17"/>
      <c r="H117" s="17"/>
      <c r="I117" s="17"/>
      <c r="J117"/>
      <c r="K117"/>
      <c r="L117" s="14"/>
      <c r="M117"/>
      <c r="N117" s="14"/>
      <c r="O117" s="14"/>
      <c r="P117" s="14"/>
    </row>
    <row r="118" spans="6:16" x14ac:dyDescent="0.25">
      <c r="F118" s="17"/>
      <c r="G118" s="17"/>
      <c r="H118" s="17"/>
      <c r="I118" s="17"/>
      <c r="J118"/>
      <c r="K118"/>
      <c r="L118" s="14"/>
      <c r="M118"/>
      <c r="N118" s="14"/>
      <c r="O118" s="14"/>
      <c r="P118" s="14"/>
    </row>
    <row r="119" spans="6:16" x14ac:dyDescent="0.25">
      <c r="F119" s="17"/>
      <c r="G119" s="17"/>
      <c r="H119" s="17"/>
      <c r="I119" s="17"/>
      <c r="J119"/>
      <c r="K119"/>
      <c r="L119" s="14"/>
      <c r="M119"/>
      <c r="N119" s="14"/>
      <c r="O119" s="14"/>
      <c r="P119" s="14"/>
    </row>
    <row r="120" spans="6:16" x14ac:dyDescent="0.25">
      <c r="F120" s="17"/>
      <c r="G120" s="17"/>
      <c r="H120" s="17"/>
      <c r="I120" s="17"/>
      <c r="J120"/>
      <c r="K120"/>
      <c r="L120" s="14"/>
      <c r="M120"/>
      <c r="N120" s="14"/>
      <c r="O120" s="14"/>
      <c r="P120" s="14"/>
    </row>
    <row r="121" spans="6:16" x14ac:dyDescent="0.25">
      <c r="F121" s="17"/>
      <c r="G121" s="17"/>
      <c r="H121" s="17"/>
      <c r="I121" s="17"/>
      <c r="J121"/>
      <c r="K121"/>
      <c r="L121" s="14"/>
      <c r="M121"/>
      <c r="N121" s="14"/>
      <c r="O121" s="14"/>
      <c r="P121" s="14"/>
    </row>
    <row r="122" spans="6:16" x14ac:dyDescent="0.25">
      <c r="F122" s="17"/>
      <c r="G122" s="17"/>
      <c r="H122" s="17"/>
      <c r="I122" s="17"/>
      <c r="J122"/>
      <c r="K122"/>
      <c r="L122" s="14"/>
      <c r="M122"/>
      <c r="N122" s="14"/>
      <c r="O122" s="14"/>
      <c r="P122" s="14"/>
    </row>
    <row r="123" spans="6:16" x14ac:dyDescent="0.25">
      <c r="F123" s="17"/>
      <c r="G123" s="17"/>
      <c r="H123" s="17"/>
      <c r="I123" s="17"/>
      <c r="J123"/>
      <c r="K123"/>
      <c r="L123" s="14"/>
      <c r="M123"/>
      <c r="N123" s="14"/>
      <c r="O123" s="14"/>
      <c r="P123" s="14"/>
    </row>
    <row r="124" spans="6:16" x14ac:dyDescent="0.25">
      <c r="F124" s="17"/>
      <c r="G124" s="17"/>
      <c r="H124" s="17"/>
      <c r="I124" s="17"/>
      <c r="J124"/>
      <c r="K124"/>
      <c r="L124" s="14"/>
      <c r="M124"/>
      <c r="N124" s="14"/>
      <c r="O124" s="14"/>
      <c r="P124" s="14"/>
    </row>
    <row r="125" spans="6:16" x14ac:dyDescent="0.25">
      <c r="F125" s="17"/>
      <c r="G125" s="17"/>
      <c r="H125" s="17"/>
      <c r="I125" s="17"/>
      <c r="J125"/>
      <c r="K125"/>
      <c r="L125" s="14"/>
      <c r="M125"/>
      <c r="N125" s="14"/>
      <c r="O125" s="14"/>
      <c r="P125" s="14"/>
    </row>
    <row r="126" spans="6:16" x14ac:dyDescent="0.25">
      <c r="F126" s="17"/>
      <c r="G126" s="17"/>
      <c r="H126" s="17"/>
      <c r="I126" s="17"/>
      <c r="J126"/>
      <c r="K126"/>
      <c r="L126" s="14"/>
      <c r="M126"/>
      <c r="N126" s="14"/>
      <c r="O126" s="14"/>
      <c r="P126" s="14"/>
    </row>
    <row r="127" spans="6:16" x14ac:dyDescent="0.25">
      <c r="F127" s="17"/>
      <c r="G127" s="17"/>
      <c r="H127" s="17"/>
      <c r="I127" s="17"/>
      <c r="J127"/>
      <c r="K127"/>
      <c r="L127" s="14"/>
      <c r="M127"/>
      <c r="N127" s="14"/>
      <c r="O127" s="14"/>
      <c r="P127" s="14"/>
    </row>
    <row r="128" spans="6:16" x14ac:dyDescent="0.25">
      <c r="F128" s="17"/>
      <c r="G128" s="17"/>
      <c r="H128" s="17"/>
      <c r="I128" s="17"/>
      <c r="J128"/>
      <c r="K128"/>
      <c r="L128" s="14"/>
      <c r="M128"/>
      <c r="N128" s="14"/>
      <c r="O128" s="14"/>
      <c r="P128" s="14"/>
    </row>
    <row r="129" spans="6:16" x14ac:dyDescent="0.25">
      <c r="F129" s="17"/>
      <c r="G129" s="17"/>
      <c r="H129" s="17"/>
      <c r="I129" s="17"/>
      <c r="J129"/>
      <c r="K129"/>
      <c r="L129" s="14"/>
      <c r="M129"/>
      <c r="N129" s="14"/>
      <c r="O129" s="14"/>
      <c r="P129" s="14"/>
    </row>
    <row r="130" spans="6:16" x14ac:dyDescent="0.25">
      <c r="F130" s="17"/>
      <c r="G130" s="17"/>
      <c r="H130" s="17"/>
      <c r="I130" s="17"/>
      <c r="J130"/>
      <c r="K130"/>
      <c r="L130" s="14"/>
      <c r="M130"/>
      <c r="N130" s="14"/>
      <c r="O130" s="14"/>
      <c r="P130" s="14"/>
    </row>
    <row r="131" spans="6:16" x14ac:dyDescent="0.25">
      <c r="F131" s="17"/>
      <c r="G131" s="17"/>
      <c r="H131" s="17"/>
      <c r="I131" s="17"/>
      <c r="J131"/>
      <c r="K131"/>
      <c r="L131" s="14"/>
      <c r="M131"/>
      <c r="N131" s="14"/>
      <c r="O131" s="14"/>
      <c r="P131" s="14"/>
    </row>
    <row r="132" spans="6:16" x14ac:dyDescent="0.25">
      <c r="F132" s="17"/>
      <c r="G132" s="17"/>
      <c r="H132" s="17"/>
      <c r="I132" s="17"/>
      <c r="J132"/>
      <c r="K132"/>
      <c r="L132" s="14"/>
      <c r="M132"/>
      <c r="N132" s="14"/>
      <c r="O132" s="14"/>
      <c r="P132" s="14"/>
    </row>
    <row r="133" spans="6:16" x14ac:dyDescent="0.25">
      <c r="F133" s="17"/>
      <c r="G133" s="17"/>
      <c r="H133" s="17"/>
      <c r="I133" s="17"/>
      <c r="J133"/>
      <c r="K133"/>
      <c r="L133" s="14"/>
      <c r="M133"/>
      <c r="N133" s="14"/>
      <c r="O133" s="14"/>
      <c r="P133" s="14"/>
    </row>
    <row r="134" spans="6:16" x14ac:dyDescent="0.25">
      <c r="F134" s="17"/>
      <c r="G134" s="17"/>
      <c r="H134" s="17"/>
      <c r="I134" s="17"/>
      <c r="J134"/>
      <c r="K134"/>
      <c r="L134" s="14"/>
      <c r="M134"/>
      <c r="N134" s="14"/>
      <c r="O134" s="14"/>
      <c r="P134" s="14"/>
    </row>
    <row r="135" spans="6:16" x14ac:dyDescent="0.25">
      <c r="F135" s="17"/>
      <c r="G135" s="17"/>
      <c r="H135" s="17"/>
      <c r="I135" s="17"/>
      <c r="J135"/>
      <c r="K135"/>
      <c r="L135" s="14"/>
      <c r="M135"/>
      <c r="N135" s="14"/>
      <c r="O135" s="14"/>
      <c r="P135" s="14"/>
    </row>
    <row r="136" spans="6:16" x14ac:dyDescent="0.25">
      <c r="F136" s="17"/>
      <c r="G136" s="17"/>
      <c r="H136" s="17"/>
      <c r="I136" s="17"/>
      <c r="J136"/>
      <c r="K136"/>
      <c r="L136" s="14"/>
      <c r="M136"/>
      <c r="N136" s="14"/>
      <c r="O136" s="14"/>
      <c r="P136" s="14"/>
    </row>
    <row r="137" spans="6:16" x14ac:dyDescent="0.25">
      <c r="F137" s="17"/>
      <c r="G137" s="17"/>
      <c r="H137" s="17"/>
      <c r="I137" s="17"/>
      <c r="J137"/>
      <c r="K137"/>
      <c r="L137" s="14"/>
      <c r="M137"/>
      <c r="N137" s="14"/>
      <c r="O137" s="14"/>
      <c r="P137" s="14"/>
    </row>
    <row r="138" spans="6:16" x14ac:dyDescent="0.25">
      <c r="F138" s="17"/>
      <c r="G138" s="17"/>
      <c r="H138" s="17"/>
      <c r="I138" s="17"/>
      <c r="J138"/>
      <c r="K138"/>
      <c r="L138" s="14"/>
      <c r="M138"/>
      <c r="N138" s="14"/>
      <c r="O138" s="14"/>
      <c r="P138" s="14"/>
    </row>
    <row r="139" spans="6:16" x14ac:dyDescent="0.25">
      <c r="F139" s="17"/>
      <c r="G139" s="17"/>
      <c r="H139" s="17"/>
      <c r="I139" s="17"/>
      <c r="J139"/>
      <c r="K139"/>
      <c r="L139" s="14"/>
      <c r="M139"/>
      <c r="N139" s="14"/>
      <c r="O139" s="14"/>
      <c r="P139" s="14"/>
    </row>
    <row r="140" spans="6:16" x14ac:dyDescent="0.25">
      <c r="F140" s="17"/>
      <c r="G140" s="17"/>
      <c r="H140" s="17"/>
      <c r="I140" s="17"/>
      <c r="J140"/>
      <c r="K140"/>
      <c r="L140" s="14"/>
      <c r="M140"/>
      <c r="N140" s="14"/>
      <c r="O140" s="14"/>
      <c r="P140" s="14"/>
    </row>
    <row r="141" spans="6:16" x14ac:dyDescent="0.25">
      <c r="F141" s="17"/>
      <c r="G141" s="17"/>
      <c r="H141" s="17"/>
      <c r="I141" s="17"/>
      <c r="J141"/>
      <c r="K141"/>
      <c r="L141" s="14"/>
      <c r="M141"/>
      <c r="N141" s="14"/>
      <c r="O141" s="14"/>
      <c r="P141" s="14"/>
    </row>
    <row r="142" spans="6:16" x14ac:dyDescent="0.25">
      <c r="F142" s="17"/>
      <c r="G142" s="17"/>
      <c r="H142" s="17"/>
      <c r="I142" s="17"/>
      <c r="J142"/>
      <c r="K142"/>
      <c r="L142" s="14"/>
      <c r="M142"/>
      <c r="N142" s="14"/>
      <c r="O142" s="14"/>
      <c r="P142" s="14"/>
    </row>
    <row r="143" spans="6:16" x14ac:dyDescent="0.25">
      <c r="F143" s="17"/>
      <c r="G143" s="17"/>
      <c r="H143" s="17"/>
      <c r="I143" s="17"/>
      <c r="J143"/>
      <c r="K143"/>
      <c r="L143" s="14"/>
      <c r="M143"/>
      <c r="N143" s="14"/>
      <c r="O143" s="14"/>
      <c r="P143" s="14"/>
    </row>
    <row r="144" spans="6:16" x14ac:dyDescent="0.25">
      <c r="F144" s="17"/>
      <c r="G144" s="17"/>
      <c r="H144" s="17"/>
      <c r="I144" s="17"/>
      <c r="J144"/>
      <c r="K144"/>
      <c r="L144" s="14"/>
      <c r="M144"/>
      <c r="N144" s="14"/>
      <c r="O144" s="14"/>
      <c r="P144" s="14"/>
    </row>
    <row r="145" spans="6:16" x14ac:dyDescent="0.25">
      <c r="F145" s="17"/>
      <c r="G145" s="17"/>
      <c r="H145" s="17"/>
      <c r="I145" s="17"/>
      <c r="J145"/>
      <c r="K145"/>
      <c r="L145" s="14"/>
      <c r="M145"/>
      <c r="N145" s="14"/>
      <c r="O145" s="14"/>
      <c r="P145" s="14"/>
    </row>
    <row r="146" spans="6:16" x14ac:dyDescent="0.25">
      <c r="F146" s="17"/>
      <c r="G146" s="17"/>
      <c r="H146" s="17"/>
      <c r="I146" s="17"/>
      <c r="J146"/>
      <c r="K146"/>
      <c r="L146" s="14"/>
      <c r="M146"/>
      <c r="N146" s="14"/>
      <c r="O146" s="14"/>
      <c r="P146" s="14"/>
    </row>
    <row r="147" spans="6:16" x14ac:dyDescent="0.25">
      <c r="F147" s="17"/>
      <c r="G147" s="17"/>
      <c r="H147" s="17"/>
      <c r="I147" s="17"/>
      <c r="J147"/>
      <c r="K147"/>
      <c r="L147" s="14"/>
      <c r="M147"/>
      <c r="N147" s="14"/>
      <c r="O147" s="14"/>
      <c r="P147" s="14"/>
    </row>
    <row r="148" spans="6:16" x14ac:dyDescent="0.25">
      <c r="F148" s="17"/>
      <c r="G148" s="17"/>
      <c r="H148" s="17"/>
      <c r="I148" s="17"/>
      <c r="J148"/>
      <c r="K148"/>
      <c r="L148" s="14"/>
      <c r="M148"/>
      <c r="N148" s="14"/>
      <c r="O148" s="14"/>
      <c r="P148" s="14"/>
    </row>
    <row r="149" spans="6:16" x14ac:dyDescent="0.25">
      <c r="F149" s="17"/>
      <c r="G149" s="17"/>
      <c r="H149" s="17"/>
      <c r="I149" s="17"/>
      <c r="J149"/>
      <c r="K149"/>
      <c r="L149" s="14"/>
      <c r="M149"/>
      <c r="N149" s="14"/>
      <c r="O149" s="14"/>
      <c r="P149" s="14"/>
    </row>
    <row r="150" spans="6:16" x14ac:dyDescent="0.25">
      <c r="F150" s="17"/>
      <c r="G150" s="17"/>
      <c r="H150" s="17"/>
      <c r="I150" s="17"/>
      <c r="J150"/>
      <c r="K150"/>
      <c r="L150" s="14"/>
      <c r="M150"/>
      <c r="N150" s="14"/>
      <c r="O150" s="14"/>
      <c r="P150" s="14"/>
    </row>
    <row r="151" spans="6:16" x14ac:dyDescent="0.25">
      <c r="F151" s="17"/>
      <c r="G151" s="17"/>
      <c r="H151" s="17"/>
      <c r="I151" s="17"/>
      <c r="J151"/>
      <c r="K151"/>
      <c r="L151" s="14"/>
      <c r="M151"/>
      <c r="N151" s="14"/>
      <c r="O151" s="14"/>
      <c r="P151" s="14"/>
    </row>
    <row r="152" spans="6:16" x14ac:dyDescent="0.25">
      <c r="F152" s="17"/>
      <c r="G152" s="17"/>
      <c r="H152" s="17"/>
      <c r="I152" s="17"/>
      <c r="J152"/>
      <c r="K152"/>
      <c r="L152" s="14"/>
      <c r="M152"/>
      <c r="N152" s="14"/>
      <c r="O152" s="14"/>
      <c r="P152" s="14"/>
    </row>
    <row r="153" spans="6:16" x14ac:dyDescent="0.25">
      <c r="F153" s="17"/>
      <c r="G153" s="17"/>
      <c r="H153" s="17"/>
      <c r="I153" s="17"/>
      <c r="J153"/>
      <c r="K153"/>
      <c r="L153" s="14"/>
      <c r="M153"/>
      <c r="N153" s="14"/>
      <c r="O153" s="14"/>
      <c r="P153" s="14"/>
    </row>
    <row r="154" spans="6:16" x14ac:dyDescent="0.25">
      <c r="F154" s="17"/>
      <c r="G154" s="17"/>
      <c r="H154" s="17"/>
      <c r="I154" s="17"/>
      <c r="J154"/>
      <c r="K154"/>
      <c r="L154" s="14"/>
      <c r="M154"/>
      <c r="N154" s="14"/>
      <c r="O154" s="14"/>
      <c r="P154" s="14"/>
    </row>
    <row r="155" spans="6:16" x14ac:dyDescent="0.25">
      <c r="F155" s="17"/>
      <c r="G155" s="17"/>
      <c r="H155" s="17"/>
      <c r="I155" s="17"/>
      <c r="J155"/>
      <c r="K155"/>
      <c r="L155" s="14"/>
      <c r="M155"/>
      <c r="N155" s="14"/>
      <c r="O155" s="14"/>
      <c r="P155" s="14"/>
    </row>
    <row r="156" spans="6:16" x14ac:dyDescent="0.25">
      <c r="F156" s="17"/>
      <c r="G156" s="17"/>
      <c r="H156" s="17"/>
      <c r="I156" s="17"/>
      <c r="J156"/>
      <c r="K156"/>
      <c r="L156" s="14"/>
      <c r="M156"/>
      <c r="N156" s="14"/>
      <c r="O156" s="14"/>
      <c r="P156" s="14"/>
    </row>
    <row r="157" spans="6:16" x14ac:dyDescent="0.25">
      <c r="F157" s="17"/>
      <c r="G157" s="17"/>
      <c r="H157" s="17"/>
      <c r="I157" s="17"/>
      <c r="J157"/>
      <c r="K157"/>
      <c r="L157" s="14"/>
      <c r="M157"/>
      <c r="N157" s="14"/>
      <c r="O157" s="14"/>
      <c r="P157" s="14"/>
    </row>
    <row r="158" spans="6:16" x14ac:dyDescent="0.25">
      <c r="F158" s="17"/>
      <c r="G158" s="17"/>
      <c r="H158" s="17"/>
      <c r="I158" s="17"/>
      <c r="J158"/>
      <c r="K158"/>
      <c r="L158" s="14"/>
      <c r="M158"/>
      <c r="N158" s="14"/>
      <c r="O158" s="14"/>
      <c r="P158" s="14"/>
    </row>
    <row r="159" spans="6:16" x14ac:dyDescent="0.25">
      <c r="F159" s="17"/>
      <c r="G159" s="17"/>
      <c r="H159" s="17"/>
      <c r="I159" s="17"/>
      <c r="J159"/>
      <c r="K159"/>
      <c r="L159" s="14"/>
      <c r="M159"/>
      <c r="N159" s="14"/>
      <c r="O159" s="14"/>
      <c r="P159" s="14"/>
    </row>
    <row r="160" spans="6:16" x14ac:dyDescent="0.25">
      <c r="F160" s="17"/>
      <c r="G160" s="17"/>
      <c r="H160" s="17"/>
      <c r="I160" s="17"/>
      <c r="J160"/>
      <c r="K160"/>
      <c r="L160" s="14"/>
      <c r="M160"/>
      <c r="N160" s="14"/>
      <c r="O160" s="14"/>
      <c r="P160" s="14"/>
    </row>
    <row r="161" spans="6:16" x14ac:dyDescent="0.25">
      <c r="F161" s="17"/>
      <c r="G161" s="17"/>
      <c r="H161" s="17"/>
      <c r="I161" s="17"/>
      <c r="J161"/>
      <c r="K161"/>
      <c r="L161" s="14"/>
      <c r="M161"/>
      <c r="N161" s="14"/>
      <c r="O161" s="14"/>
      <c r="P161" s="14"/>
    </row>
    <row r="162" spans="6:16" x14ac:dyDescent="0.25">
      <c r="F162" s="17"/>
      <c r="G162" s="17"/>
      <c r="H162" s="17"/>
      <c r="I162" s="17"/>
      <c r="J162"/>
      <c r="K162"/>
      <c r="L162" s="14"/>
      <c r="M162"/>
      <c r="N162" s="14"/>
      <c r="O162" s="14"/>
      <c r="P162" s="14"/>
    </row>
    <row r="163" spans="6:16" x14ac:dyDescent="0.25">
      <c r="F163" s="17"/>
      <c r="G163" s="17"/>
      <c r="H163" s="17"/>
      <c r="I163" s="17"/>
      <c r="J163"/>
      <c r="K163"/>
      <c r="L163" s="14"/>
      <c r="M163"/>
      <c r="N163" s="14"/>
      <c r="O163" s="14"/>
      <c r="P163" s="14"/>
    </row>
    <row r="164" spans="6:16" x14ac:dyDescent="0.25">
      <c r="F164" s="17"/>
      <c r="G164" s="17"/>
      <c r="H164" s="17"/>
      <c r="I164" s="17"/>
      <c r="J164"/>
      <c r="K164"/>
      <c r="L164" s="14"/>
      <c r="M164"/>
      <c r="N164" s="14"/>
      <c r="O164" s="14"/>
      <c r="P164" s="14"/>
    </row>
    <row r="165" spans="6:16" x14ac:dyDescent="0.25">
      <c r="F165" s="17"/>
      <c r="I165" s="17"/>
      <c r="J165"/>
      <c r="K165"/>
      <c r="L165" s="14"/>
      <c r="M165"/>
      <c r="N165" s="14"/>
      <c r="O165" s="14"/>
      <c r="P165" s="14"/>
    </row>
    <row r="166" spans="6:16" x14ac:dyDescent="0.25">
      <c r="F166" s="17"/>
      <c r="I166" s="17"/>
      <c r="J166"/>
      <c r="K166"/>
      <c r="L166" s="14"/>
      <c r="M166"/>
      <c r="N166" s="14"/>
      <c r="O166" s="14"/>
      <c r="P166" s="14"/>
    </row>
    <row r="167" spans="6:16" x14ac:dyDescent="0.25">
      <c r="F167" s="17"/>
      <c r="I167" s="17"/>
      <c r="J167"/>
      <c r="K167"/>
      <c r="L167" s="14"/>
      <c r="M167"/>
      <c r="N167" s="14"/>
      <c r="O167" s="14"/>
      <c r="P167" s="14"/>
    </row>
    <row r="168" spans="6:16" x14ac:dyDescent="0.25">
      <c r="F168" s="17"/>
      <c r="I168" s="17"/>
      <c r="J168"/>
      <c r="K168"/>
      <c r="L168" s="14"/>
      <c r="M168"/>
      <c r="N168" s="14"/>
      <c r="O168" s="14"/>
      <c r="P168" s="14"/>
    </row>
    <row r="169" spans="6:16" x14ac:dyDescent="0.25">
      <c r="F169" s="17"/>
      <c r="I169" s="17"/>
      <c r="J169"/>
      <c r="K169"/>
      <c r="L169" s="14"/>
      <c r="M169"/>
      <c r="N169" s="14"/>
      <c r="O169" s="14"/>
      <c r="P169" s="14"/>
    </row>
    <row r="170" spans="6:16" x14ac:dyDescent="0.25">
      <c r="F170" s="17"/>
      <c r="I170" s="17"/>
      <c r="J170"/>
      <c r="K170"/>
      <c r="L170" s="14"/>
      <c r="M170"/>
      <c r="N170" s="14"/>
      <c r="O170" s="14"/>
      <c r="P170" s="14"/>
    </row>
    <row r="171" spans="6:16" x14ac:dyDescent="0.25">
      <c r="F171" s="17"/>
      <c r="J171"/>
      <c r="K171"/>
      <c r="L171" s="14"/>
      <c r="M171"/>
      <c r="N171" s="14"/>
      <c r="O171" s="14"/>
      <c r="P171" s="14"/>
    </row>
    <row r="172" spans="6:16" x14ac:dyDescent="0.25">
      <c r="F172" s="17"/>
      <c r="J172"/>
      <c r="K172"/>
      <c r="L172" s="14"/>
      <c r="M172"/>
      <c r="N172" s="14"/>
      <c r="O172" s="14"/>
      <c r="P172" s="14"/>
    </row>
    <row r="173" spans="6:16" x14ac:dyDescent="0.25">
      <c r="F173" s="17"/>
      <c r="J173"/>
      <c r="K173"/>
      <c r="L173" s="14"/>
      <c r="M173"/>
      <c r="N173" s="14"/>
      <c r="O173" s="14"/>
      <c r="P173" s="14"/>
    </row>
    <row r="174" spans="6:16" x14ac:dyDescent="0.25">
      <c r="F174" s="17"/>
      <c r="J174"/>
      <c r="K174"/>
      <c r="L174" s="14"/>
      <c r="M174"/>
      <c r="N174" s="14"/>
      <c r="O174" s="14"/>
      <c r="P174" s="14"/>
    </row>
    <row r="175" spans="6:16" x14ac:dyDescent="0.25">
      <c r="F175" s="17"/>
      <c r="J175"/>
      <c r="K175"/>
      <c r="L175" s="14"/>
      <c r="M175"/>
      <c r="N175" s="14"/>
      <c r="O175" s="14"/>
      <c r="P175" s="14"/>
    </row>
    <row r="176" spans="6:16" x14ac:dyDescent="0.25">
      <c r="F176" s="17"/>
      <c r="J176"/>
      <c r="K176"/>
      <c r="L176" s="14"/>
      <c r="M176"/>
      <c r="N176" s="14"/>
      <c r="O176" s="14"/>
      <c r="P176" s="14"/>
    </row>
    <row r="177" spans="6:16" x14ac:dyDescent="0.25">
      <c r="F177" s="17"/>
      <c r="J177"/>
      <c r="K177"/>
      <c r="L177" s="14"/>
      <c r="M177"/>
      <c r="N177" s="14"/>
      <c r="O177" s="14"/>
      <c r="P177" s="14"/>
    </row>
    <row r="178" spans="6:16" x14ac:dyDescent="0.25">
      <c r="F178" s="17"/>
      <c r="J178"/>
      <c r="K178"/>
      <c r="L178" s="14"/>
      <c r="M178"/>
      <c r="N178" s="14"/>
      <c r="O178" s="14"/>
      <c r="P178" s="14"/>
    </row>
    <row r="179" spans="6:16" x14ac:dyDescent="0.25">
      <c r="F179" s="17"/>
      <c r="J179"/>
      <c r="K179"/>
      <c r="L179" s="14"/>
      <c r="M179"/>
      <c r="N179" s="14"/>
      <c r="O179" s="14"/>
      <c r="P179" s="14"/>
    </row>
    <row r="180" spans="6:16" x14ac:dyDescent="0.25">
      <c r="F180" s="17"/>
      <c r="J180"/>
      <c r="K180"/>
      <c r="L180" s="14"/>
      <c r="M180"/>
      <c r="N180" s="14"/>
      <c r="O180" s="14"/>
      <c r="P180" s="14"/>
    </row>
    <row r="181" spans="6:16" x14ac:dyDescent="0.25">
      <c r="F181" s="17"/>
      <c r="J181"/>
      <c r="K181"/>
      <c r="L181" s="14"/>
      <c r="M181"/>
      <c r="N181" s="14"/>
      <c r="O181" s="14"/>
      <c r="P181" s="14"/>
    </row>
    <row r="182" spans="6:16" x14ac:dyDescent="0.25">
      <c r="F182" s="17"/>
      <c r="J182"/>
      <c r="K182"/>
      <c r="L182" s="14"/>
      <c r="M182"/>
      <c r="N182" s="14"/>
      <c r="O182" s="14"/>
      <c r="P182" s="14"/>
    </row>
    <row r="183" spans="6:16" x14ac:dyDescent="0.25">
      <c r="F183" s="17"/>
      <c r="J183"/>
      <c r="K183"/>
      <c r="L183" s="14"/>
      <c r="M183"/>
      <c r="N183" s="14"/>
      <c r="O183" s="14"/>
      <c r="P183" s="14"/>
    </row>
    <row r="184" spans="6:16" x14ac:dyDescent="0.25">
      <c r="J184"/>
      <c r="K184"/>
      <c r="L184" s="14"/>
      <c r="M184"/>
      <c r="N184" s="14"/>
      <c r="O184" s="14"/>
      <c r="P184" s="14"/>
    </row>
    <row r="185" spans="6:16" x14ac:dyDescent="0.25">
      <c r="J185"/>
      <c r="K185"/>
      <c r="L185" s="14"/>
      <c r="M185"/>
      <c r="N185" s="14"/>
      <c r="O185" s="14"/>
      <c r="P185" s="14"/>
    </row>
    <row r="186" spans="6:16" x14ac:dyDescent="0.25">
      <c r="J186"/>
      <c r="K186"/>
      <c r="L186" s="14"/>
      <c r="M186"/>
      <c r="N186" s="14"/>
      <c r="O186" s="14"/>
      <c r="P186" s="14"/>
    </row>
    <row r="187" spans="6:16" x14ac:dyDescent="0.25">
      <c r="J187"/>
      <c r="K187"/>
      <c r="L187" s="14"/>
      <c r="M187"/>
      <c r="N187" s="14"/>
      <c r="O187" s="14"/>
      <c r="P187" s="14"/>
    </row>
    <row r="188" spans="6:16" x14ac:dyDescent="0.25">
      <c r="J188"/>
      <c r="K188"/>
      <c r="L188" s="14"/>
      <c r="M188"/>
      <c r="N188" s="14"/>
      <c r="O188" s="14"/>
      <c r="P188" s="14"/>
    </row>
    <row r="189" spans="6:16" x14ac:dyDescent="0.25">
      <c r="J189"/>
      <c r="K189"/>
      <c r="L189" s="14"/>
      <c r="M189"/>
      <c r="N189" s="14"/>
      <c r="O189" s="14"/>
      <c r="P189" s="14"/>
    </row>
    <row r="190" spans="6:16" x14ac:dyDescent="0.25">
      <c r="J190"/>
      <c r="K190"/>
      <c r="L190" s="14"/>
      <c r="M190"/>
      <c r="N190" s="14"/>
      <c r="O190" s="14"/>
      <c r="P190" s="14"/>
    </row>
    <row r="191" spans="6:16" x14ac:dyDescent="0.25">
      <c r="J191"/>
      <c r="K191"/>
      <c r="L191" s="14"/>
      <c r="M191"/>
      <c r="N191" s="14"/>
      <c r="O191" s="14"/>
      <c r="P191" s="14"/>
    </row>
    <row r="192" spans="6:16" x14ac:dyDescent="0.25">
      <c r="J192"/>
      <c r="K192"/>
      <c r="L192" s="14"/>
      <c r="M192"/>
      <c r="N192" s="14"/>
      <c r="O192" s="14"/>
      <c r="P192" s="14"/>
    </row>
    <row r="193" spans="10:16" x14ac:dyDescent="0.25">
      <c r="J193"/>
      <c r="K193"/>
      <c r="L193" s="14"/>
      <c r="M193"/>
      <c r="N193" s="14"/>
      <c r="O193" s="14"/>
      <c r="P193" s="14"/>
    </row>
    <row r="194" spans="10:16" x14ac:dyDescent="0.25">
      <c r="J194"/>
      <c r="K194"/>
      <c r="L194" s="14"/>
      <c r="M194"/>
      <c r="N194" s="14"/>
      <c r="O194" s="14"/>
      <c r="P194" s="14"/>
    </row>
    <row r="195" spans="10:16" x14ac:dyDescent="0.25">
      <c r="J195"/>
      <c r="K195"/>
      <c r="L195" s="14"/>
      <c r="M195"/>
      <c r="N195" s="14"/>
      <c r="O195" s="14"/>
      <c r="P195" s="14"/>
    </row>
    <row r="196" spans="10:16" x14ac:dyDescent="0.25">
      <c r="J196"/>
      <c r="K196"/>
      <c r="L196" s="14"/>
      <c r="M196"/>
      <c r="N196" s="14"/>
      <c r="O196" s="14"/>
      <c r="P196" s="14"/>
    </row>
    <row r="197" spans="10:16" x14ac:dyDescent="0.25">
      <c r="J197"/>
      <c r="K197"/>
      <c r="L197" s="14"/>
      <c r="M197"/>
      <c r="N197" s="14"/>
      <c r="O197" s="14"/>
      <c r="P197" s="14"/>
    </row>
    <row r="198" spans="10:16" x14ac:dyDescent="0.25">
      <c r="J198"/>
      <c r="K198"/>
      <c r="L198" s="14"/>
      <c r="M198"/>
      <c r="N198" s="14"/>
      <c r="O198" s="14"/>
      <c r="P198" s="14"/>
    </row>
    <row r="199" spans="10:16" x14ac:dyDescent="0.25">
      <c r="J199"/>
      <c r="K199"/>
      <c r="L199" s="14"/>
      <c r="M199"/>
      <c r="N199" s="14"/>
      <c r="O199" s="14"/>
      <c r="P199" s="14"/>
    </row>
    <row r="200" spans="10:16" x14ac:dyDescent="0.25">
      <c r="J200"/>
      <c r="K200"/>
      <c r="L200" s="14"/>
      <c r="M200"/>
      <c r="N200" s="14"/>
      <c r="O200" s="14"/>
      <c r="P200" s="14"/>
    </row>
    <row r="201" spans="10:16" x14ac:dyDescent="0.25">
      <c r="J201"/>
      <c r="K201"/>
      <c r="L201" s="14"/>
      <c r="M201"/>
      <c r="N201" s="14"/>
      <c r="O201" s="14"/>
      <c r="P201" s="14"/>
    </row>
    <row r="202" spans="10:16" x14ac:dyDescent="0.25">
      <c r="J202"/>
      <c r="K202"/>
      <c r="L202" s="14"/>
      <c r="M202"/>
      <c r="N202" s="14"/>
      <c r="O202" s="14"/>
      <c r="P202" s="14"/>
    </row>
    <row r="203" spans="10:16" x14ac:dyDescent="0.25">
      <c r="J203"/>
      <c r="K203"/>
      <c r="L203" s="14"/>
      <c r="M203"/>
      <c r="N203" s="14"/>
      <c r="O203" s="14"/>
      <c r="P203" s="14"/>
    </row>
    <row r="204" spans="10:16" x14ac:dyDescent="0.25">
      <c r="J204"/>
      <c r="K204"/>
      <c r="L204" s="14"/>
      <c r="M204"/>
      <c r="N204" s="14"/>
      <c r="O204" s="14"/>
      <c r="P204" s="14"/>
    </row>
    <row r="205" spans="10:16" x14ac:dyDescent="0.25">
      <c r="J205"/>
      <c r="K205"/>
      <c r="L205" s="14"/>
      <c r="M205"/>
      <c r="N205" s="14"/>
      <c r="O205" s="14"/>
      <c r="P205" s="14"/>
    </row>
    <row r="206" spans="10:16" x14ac:dyDescent="0.25">
      <c r="J206"/>
      <c r="K206"/>
      <c r="L206" s="14"/>
      <c r="M206"/>
      <c r="N206" s="14"/>
      <c r="O206" s="14"/>
      <c r="P206" s="14"/>
    </row>
    <row r="207" spans="10:16" x14ac:dyDescent="0.25">
      <c r="J207"/>
      <c r="K207"/>
      <c r="L207" s="14"/>
      <c r="M207"/>
      <c r="N207" s="14"/>
      <c r="O207" s="14"/>
      <c r="P207" s="14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7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5" tint="0.39997558519241921"/>
  </sheetPr>
  <dimension ref="B1:N20"/>
  <sheetViews>
    <sheetView showGridLines="0" zoomScaleNormal="100" workbookViewId="0">
      <selection activeCell="E18" sqref="E18"/>
    </sheetView>
  </sheetViews>
  <sheetFormatPr defaultColWidth="15.5546875" defaultRowHeight="15" x14ac:dyDescent="0.25"/>
  <cols>
    <col min="1" max="1" width="4" style="20" customWidth="1"/>
    <col min="2" max="2" width="49.44140625" style="20" bestFit="1" customWidth="1"/>
    <col min="3" max="3" width="32.88671875" style="20" customWidth="1"/>
    <col min="4" max="4" width="19.21875" style="20" customWidth="1"/>
    <col min="5" max="16384" width="15.5546875" style="20"/>
  </cols>
  <sheetData>
    <row r="1" spans="2:14" ht="29.25" customHeight="1" x14ac:dyDescent="0.25">
      <c r="B1" s="31" t="s">
        <v>129</v>
      </c>
    </row>
    <row r="2" spans="2:14" x14ac:dyDescent="0.25">
      <c r="B2" s="32" t="s">
        <v>108</v>
      </c>
      <c r="C2" s="32" t="s">
        <v>109</v>
      </c>
      <c r="E2" s="21"/>
      <c r="F2" s="21"/>
      <c r="G2" s="21"/>
      <c r="H2" s="21"/>
      <c r="I2" s="21"/>
      <c r="K2" s="21"/>
    </row>
    <row r="3" spans="2:14" x14ac:dyDescent="0.25">
      <c r="B3" s="29" t="s">
        <v>120</v>
      </c>
      <c r="C3" s="18">
        <f>76*10^6</f>
        <v>76000000</v>
      </c>
      <c r="L3" s="21"/>
      <c r="M3" s="21"/>
      <c r="N3" s="21"/>
    </row>
    <row r="4" spans="2:14" x14ac:dyDescent="0.25">
      <c r="B4" s="29" t="s">
        <v>121</v>
      </c>
      <c r="C4" s="18">
        <f>140+273.15</f>
        <v>413.15</v>
      </c>
      <c r="D4" s="21"/>
      <c r="E4" s="22"/>
      <c r="G4" s="22"/>
      <c r="H4" s="22"/>
      <c r="I4" s="22"/>
      <c r="K4" s="22"/>
    </row>
    <row r="5" spans="2:14" x14ac:dyDescent="0.25">
      <c r="B5" s="29" t="s">
        <v>122</v>
      </c>
      <c r="C5" s="18">
        <v>10</v>
      </c>
      <c r="E5" s="22"/>
      <c r="F5" s="21"/>
      <c r="G5" s="22"/>
      <c r="H5" s="22"/>
      <c r="I5" s="22"/>
      <c r="K5" s="22"/>
      <c r="M5" s="21"/>
      <c r="N5" s="21"/>
    </row>
    <row r="6" spans="2:14" x14ac:dyDescent="0.25">
      <c r="B6" s="32" t="s">
        <v>119</v>
      </c>
      <c r="C6" s="32" t="s">
        <v>109</v>
      </c>
      <c r="F6" s="21"/>
      <c r="L6" s="21"/>
      <c r="M6" s="21"/>
      <c r="N6" s="21"/>
    </row>
    <row r="7" spans="2:14" x14ac:dyDescent="0.25">
      <c r="B7" s="29" t="s">
        <v>123</v>
      </c>
      <c r="C7" s="18">
        <f>WATERPVTBW(C3,C4,C5)</f>
        <v>1.0624966038318726</v>
      </c>
      <c r="L7" s="21"/>
      <c r="M7" s="21"/>
      <c r="N7" s="21"/>
    </row>
    <row r="8" spans="2:14" x14ac:dyDescent="0.25">
      <c r="B8" s="29" t="s">
        <v>124</v>
      </c>
      <c r="C8" s="18">
        <f>WATERPVTDEN(C3,C4,C5)</f>
        <v>1007.8357861456701</v>
      </c>
      <c r="L8" s="21"/>
      <c r="M8" s="21"/>
      <c r="N8" s="21"/>
    </row>
    <row r="9" spans="2:14" x14ac:dyDescent="0.25">
      <c r="B9" s="29" t="s">
        <v>125</v>
      </c>
      <c r="C9" s="27">
        <f>WATERPVTVIS(C3,C4,C5)</f>
        <v>0.51290416337946221</v>
      </c>
      <c r="L9" s="21"/>
      <c r="M9" s="21"/>
      <c r="N9" s="21"/>
    </row>
    <row r="10" spans="2:14" x14ac:dyDescent="0.25">
      <c r="B10" s="29" t="s">
        <v>126</v>
      </c>
      <c r="C10" s="27">
        <f>WATERPVTCW(C3,C4,C5)</f>
        <v>4.5960728629911102E-10</v>
      </c>
      <c r="L10" s="21"/>
      <c r="M10" s="21"/>
      <c r="N10" s="21"/>
    </row>
    <row r="11" spans="2:14" x14ac:dyDescent="0.25">
      <c r="B11" s="29" t="s">
        <v>127</v>
      </c>
      <c r="C11" s="18">
        <f>WATERPVTRS(C3,C4,C5)</f>
        <v>4.1842339199999978</v>
      </c>
      <c r="L11" s="21"/>
      <c r="M11" s="21"/>
      <c r="N11" s="21"/>
    </row>
    <row r="12" spans="2:14" x14ac:dyDescent="0.25">
      <c r="B12" s="29" t="s">
        <v>128</v>
      </c>
      <c r="C12" s="27">
        <f>GASPVTCWGR(C3,C4,C5)</f>
        <v>4.5582879818153992E-6</v>
      </c>
      <c r="L12" s="21"/>
      <c r="M12" s="21"/>
      <c r="N12" s="21"/>
    </row>
    <row r="13" spans="2:14" x14ac:dyDescent="0.25">
      <c r="L13" s="21"/>
      <c r="M13" s="21"/>
      <c r="N13" s="21"/>
    </row>
    <row r="14" spans="2:14" x14ac:dyDescent="0.25">
      <c r="L14" s="21"/>
      <c r="M14" s="21"/>
      <c r="N14" s="21"/>
    </row>
    <row r="15" spans="2:14" x14ac:dyDescent="0.25">
      <c r="L15" s="21"/>
      <c r="M15" s="21"/>
      <c r="N15" s="21"/>
    </row>
    <row r="16" spans="2:14" x14ac:dyDescent="0.25">
      <c r="L16" s="21"/>
      <c r="M16" s="21"/>
      <c r="N16" s="21"/>
    </row>
    <row r="17" spans="3:14" x14ac:dyDescent="0.25">
      <c r="L17" s="21"/>
      <c r="M17" s="21"/>
      <c r="N17" s="21"/>
    </row>
    <row r="18" spans="3:14" x14ac:dyDescent="0.25">
      <c r="C18" s="21"/>
      <c r="L18" s="21"/>
      <c r="M18" s="21"/>
      <c r="N18" s="21"/>
    </row>
    <row r="19" spans="3:14" x14ac:dyDescent="0.25">
      <c r="L19" s="21"/>
      <c r="M19" s="21"/>
      <c r="N19" s="21"/>
    </row>
    <row r="20" spans="3:14" x14ac:dyDescent="0.25">
      <c r="L20" s="21"/>
      <c r="M20" s="21"/>
      <c r="N20" s="21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theme="5" tint="0.39997558519241921"/>
  </sheetPr>
  <dimension ref="B1:E13"/>
  <sheetViews>
    <sheetView showGridLines="0" workbookViewId="0">
      <selection activeCell="D5" sqref="D5"/>
    </sheetView>
  </sheetViews>
  <sheetFormatPr defaultColWidth="15.5546875" defaultRowHeight="15" x14ac:dyDescent="0.25"/>
  <cols>
    <col min="1" max="1" width="2.77734375" style="23" customWidth="1"/>
    <col min="2" max="2" width="59.109375" style="23" bestFit="1" customWidth="1"/>
    <col min="3" max="3" width="15.6640625" style="23" customWidth="1"/>
    <col min="4" max="16384" width="15.5546875" style="23"/>
  </cols>
  <sheetData>
    <row r="1" spans="2:5" ht="34.5" customHeight="1" x14ac:dyDescent="0.25">
      <c r="B1" s="31" t="s">
        <v>101</v>
      </c>
    </row>
    <row r="2" spans="2:5" x14ac:dyDescent="0.25">
      <c r="B2" s="32" t="s">
        <v>108</v>
      </c>
      <c r="C2" s="32" t="s">
        <v>109</v>
      </c>
    </row>
    <row r="3" spans="2:5" x14ac:dyDescent="0.25">
      <c r="B3" s="29" t="s">
        <v>102</v>
      </c>
      <c r="C3" s="24">
        <v>0.15</v>
      </c>
    </row>
    <row r="4" spans="2:5" x14ac:dyDescent="0.25">
      <c r="B4" s="32" t="s">
        <v>119</v>
      </c>
      <c r="C4" s="32" t="s">
        <v>109</v>
      </c>
    </row>
    <row r="5" spans="2:5" x14ac:dyDescent="0.25">
      <c r="B5" s="29" t="s">
        <v>132</v>
      </c>
      <c r="C5" s="25">
        <f>ROCKSANDCP($C$3)</f>
        <v>5.7644798569255989E-10</v>
      </c>
    </row>
    <row r="6" spans="2:5" x14ac:dyDescent="0.25">
      <c r="B6" s="29" t="s">
        <v>133</v>
      </c>
      <c r="C6" s="25">
        <f>ROCKLIMECP(C3)</f>
        <v>8.5035145203317697E-10</v>
      </c>
      <c r="E6" s="26"/>
    </row>
    <row r="7" spans="2:5" x14ac:dyDescent="0.25">
      <c r="E7" s="26"/>
    </row>
    <row r="8" spans="2:5" x14ac:dyDescent="0.25">
      <c r="E8" s="26"/>
    </row>
    <row r="10" spans="2:5" x14ac:dyDescent="0.25">
      <c r="D10" s="26"/>
    </row>
    <row r="11" spans="2:5" x14ac:dyDescent="0.25">
      <c r="E11" s="26"/>
    </row>
    <row r="13" spans="2:5" x14ac:dyDescent="0.25">
      <c r="E13" s="26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"/>
  <sheetViews>
    <sheetView workbookViewId="0">
      <selection activeCell="G22" sqref="G22"/>
    </sheetView>
  </sheetViews>
  <sheetFormatPr defaultRowHeight="14.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单位制</vt:lpstr>
      <vt:lpstr>1.1 天然气性质</vt:lpstr>
      <vt:lpstr>1.2 地层水性质</vt:lpstr>
      <vt:lpstr>1.3 岩石性质</vt:lpstr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李继强</dc:creator>
  <cp:lastModifiedBy>方飞飞</cp:lastModifiedBy>
  <dcterms:created xsi:type="dcterms:W3CDTF">2018-09-04T01:01:45Z</dcterms:created>
  <dcterms:modified xsi:type="dcterms:W3CDTF">2019-12-30T12:47:04Z</dcterms:modified>
</cp:coreProperties>
</file>