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教育教学\专业技术方法总结\"/>
    </mc:Choice>
  </mc:AlternateContent>
  <bookViews>
    <workbookView xWindow="0" yWindow="0" windowWidth="28800" windowHeight="14835" activeTab="4"/>
  </bookViews>
  <sheets>
    <sheet name="单位制" sheetId="2" r:id="rId1"/>
    <sheet name="1.1 天然气性质" sheetId="3" r:id="rId2"/>
    <sheet name="1.2 地层水性质" sheetId="4" r:id="rId3"/>
    <sheet name="1.3 岩石性质" sheetId="5" r:id="rId4"/>
    <sheet name="Sheet1" sheetId="6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3" l="1"/>
  <c r="C4" i="4" l="1"/>
  <c r="C3" i="4"/>
  <c r="C7" i="4"/>
  <c r="C12" i="4"/>
  <c r="C11" i="4"/>
  <c r="C8" i="4"/>
  <c r="C10" i="4"/>
  <c r="C5" i="5"/>
  <c r="C9" i="4"/>
  <c r="C6" i="5"/>
  <c r="C7" i="3" l="1"/>
  <c r="C12" i="3"/>
  <c r="C13" i="3"/>
  <c r="C11" i="3"/>
  <c r="C16" i="3"/>
  <c r="C18" i="3"/>
  <c r="C15" i="3"/>
  <c r="C17" i="3"/>
  <c r="C14" i="3"/>
</calcChain>
</file>

<file path=xl/sharedStrings.xml><?xml version="1.0" encoding="utf-8"?>
<sst xmlns="http://schemas.openxmlformats.org/spreadsheetml/2006/main" count="157" uniqueCount="137">
  <si>
    <t>物理量名称</t>
    <phoneticPr fontId="1" type="noConversion"/>
  </si>
  <si>
    <t>物理量符号</t>
    <phoneticPr fontId="1" type="noConversion"/>
  </si>
  <si>
    <t>单位名称</t>
    <phoneticPr fontId="1" type="noConversion"/>
  </si>
  <si>
    <t>物理量单位</t>
    <phoneticPr fontId="1" type="noConversion"/>
  </si>
  <si>
    <t>备注</t>
    <phoneticPr fontId="1" type="noConversion"/>
  </si>
  <si>
    <t>长度</t>
    <phoneticPr fontId="1" type="noConversion"/>
  </si>
  <si>
    <t>L</t>
    <phoneticPr fontId="1" type="noConversion"/>
  </si>
  <si>
    <t>米</t>
    <phoneticPr fontId="1" type="noConversion"/>
  </si>
  <si>
    <t>m</t>
    <phoneticPr fontId="1" type="noConversion"/>
  </si>
  <si>
    <t>m</t>
    <phoneticPr fontId="1" type="noConversion"/>
  </si>
  <si>
    <t>质量</t>
    <phoneticPr fontId="1" type="noConversion"/>
  </si>
  <si>
    <t>千克</t>
    <phoneticPr fontId="1" type="noConversion"/>
  </si>
  <si>
    <t>kg</t>
    <phoneticPr fontId="1" type="noConversion"/>
  </si>
  <si>
    <t>时间</t>
    <phoneticPr fontId="1" type="noConversion"/>
  </si>
  <si>
    <t>t</t>
    <phoneticPr fontId="1" type="noConversion"/>
  </si>
  <si>
    <t>秒</t>
    <phoneticPr fontId="1" type="noConversion"/>
  </si>
  <si>
    <t>s</t>
    <phoneticPr fontId="1" type="noConversion"/>
  </si>
  <si>
    <t>温度</t>
    <phoneticPr fontId="1" type="noConversion"/>
  </si>
  <si>
    <t>T</t>
    <phoneticPr fontId="1" type="noConversion"/>
  </si>
  <si>
    <t>开尔文</t>
    <phoneticPr fontId="1" type="noConversion"/>
  </si>
  <si>
    <t>K</t>
    <phoneticPr fontId="1" type="noConversion"/>
  </si>
  <si>
    <t>物质的量</t>
    <phoneticPr fontId="1" type="noConversion"/>
  </si>
  <si>
    <t>n</t>
    <phoneticPr fontId="1" type="noConversion"/>
  </si>
  <si>
    <t>摩尔</t>
    <phoneticPr fontId="1" type="noConversion"/>
  </si>
  <si>
    <t>mol</t>
    <phoneticPr fontId="1" type="noConversion"/>
  </si>
  <si>
    <t>电流</t>
    <phoneticPr fontId="1" type="noConversion"/>
  </si>
  <si>
    <t>Ι</t>
    <phoneticPr fontId="1" type="noConversion"/>
  </si>
  <si>
    <t>安培</t>
    <phoneticPr fontId="1" type="noConversion"/>
  </si>
  <si>
    <t>A</t>
    <phoneticPr fontId="1" type="noConversion"/>
  </si>
  <si>
    <t>发光强度</t>
    <phoneticPr fontId="1" type="noConversion"/>
  </si>
  <si>
    <t>I</t>
    <phoneticPr fontId="1" type="noConversion"/>
  </si>
  <si>
    <t>坎德拉</t>
    <phoneticPr fontId="1" type="noConversion"/>
  </si>
  <si>
    <t>cd</t>
    <phoneticPr fontId="1" type="noConversion"/>
  </si>
  <si>
    <t>力</t>
    <phoneticPr fontId="1" type="noConversion"/>
  </si>
  <si>
    <t>F</t>
    <phoneticPr fontId="1" type="noConversion"/>
  </si>
  <si>
    <t>牛顿</t>
    <phoneticPr fontId="1" type="noConversion"/>
  </si>
  <si>
    <t>N</t>
    <phoneticPr fontId="1" type="noConversion"/>
  </si>
  <si>
    <r>
      <t>1N=1kg·m/s</t>
    </r>
    <r>
      <rPr>
        <vertAlign val="superscript"/>
        <sz val="12"/>
        <color rgb="FF000000"/>
        <rFont val="黑体"/>
        <family val="3"/>
        <charset val="134"/>
      </rPr>
      <t>2</t>
    </r>
    <phoneticPr fontId="1" type="noConversion"/>
  </si>
  <si>
    <t>压强</t>
    <phoneticPr fontId="1" type="noConversion"/>
  </si>
  <si>
    <t>p</t>
    <phoneticPr fontId="1" type="noConversion"/>
  </si>
  <si>
    <t>帕斯卡</t>
    <phoneticPr fontId="1" type="noConversion"/>
  </si>
  <si>
    <t>Pa</t>
    <phoneticPr fontId="1" type="noConversion"/>
  </si>
  <si>
    <r>
      <t>1Pa=1N/m</t>
    </r>
    <r>
      <rPr>
        <vertAlign val="superscript"/>
        <sz val="12"/>
        <color rgb="FF000000"/>
        <rFont val="黑体"/>
        <family val="3"/>
        <charset val="134"/>
      </rPr>
      <t>2</t>
    </r>
  </si>
  <si>
    <t>能或功</t>
    <phoneticPr fontId="1" type="noConversion"/>
  </si>
  <si>
    <t>W</t>
    <phoneticPr fontId="1" type="noConversion"/>
  </si>
  <si>
    <t>焦耳</t>
    <phoneticPr fontId="1" type="noConversion"/>
  </si>
  <si>
    <t>J</t>
    <phoneticPr fontId="1" type="noConversion"/>
  </si>
  <si>
    <t>1J=1N·m</t>
    <phoneticPr fontId="1" type="noConversion"/>
  </si>
  <si>
    <t>面积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</si>
  <si>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</si>
  <si>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t>体积</t>
    <phoneticPr fontId="1" type="noConversion"/>
  </si>
  <si>
    <t>V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</si>
  <si>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3</t>
    </r>
    <phoneticPr fontId="1" type="noConversion"/>
  </si>
  <si>
    <t>密度</t>
    <phoneticPr fontId="1" type="noConversion"/>
  </si>
  <si>
    <t>ρ</t>
  </si>
  <si>
    <r>
      <t>kg/m</t>
    </r>
    <r>
      <rPr>
        <vertAlign val="superscript"/>
        <sz val="12"/>
        <color theme="1"/>
        <rFont val="黑体"/>
        <family val="3"/>
        <charset val="134"/>
      </rPr>
      <t>3</t>
    </r>
    <phoneticPr fontId="1" type="noConversion"/>
  </si>
  <si>
    <t>速度</t>
    <phoneticPr fontId="1" type="noConversion"/>
  </si>
  <si>
    <t>v</t>
    <phoneticPr fontId="1" type="noConversion"/>
  </si>
  <si>
    <t>m/s</t>
    <phoneticPr fontId="1" type="noConversion"/>
  </si>
  <si>
    <t>流量</t>
    <phoneticPr fontId="1" type="noConversion"/>
  </si>
  <si>
    <t>q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</si>
  <si>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3</t>
    </r>
    <r>
      <rPr>
        <sz val="12"/>
        <color theme="1"/>
        <rFont val="黑体"/>
        <family val="3"/>
        <charset val="134"/>
      </rPr>
      <t>/s</t>
    </r>
    <phoneticPr fontId="1" type="noConversion"/>
  </si>
  <si>
    <t>粘度</t>
    <phoneticPr fontId="1" type="noConversion"/>
  </si>
  <si>
    <t>μ</t>
  </si>
  <si>
    <t>剪切应力与剪切速率的比值</t>
    <phoneticPr fontId="1" type="noConversion"/>
  </si>
  <si>
    <t>重力加速度</t>
    <phoneticPr fontId="1" type="noConversion"/>
  </si>
  <si>
    <t>g</t>
    <phoneticPr fontId="1" type="noConversion"/>
  </si>
  <si>
    <t>渗透率</t>
    <phoneticPr fontId="1" type="noConversion"/>
  </si>
  <si>
    <t>k</t>
    <phoneticPr fontId="1" type="noConversion"/>
  </si>
  <si>
    <t>压缩系数</t>
    <phoneticPr fontId="1" type="noConversion"/>
  </si>
  <si>
    <t>C</t>
    <phoneticPr fontId="1" type="noConversion"/>
  </si>
  <si>
    <r>
      <t>Pa</t>
    </r>
    <r>
      <rPr>
        <vertAlign val="superscript"/>
        <sz val="12"/>
        <color theme="1"/>
        <rFont val="黑体"/>
        <family val="3"/>
        <charset val="134"/>
      </rPr>
      <t>-1</t>
    </r>
    <phoneticPr fontId="1" type="noConversion"/>
  </si>
  <si>
    <t>界面张力</t>
    <phoneticPr fontId="1" type="noConversion"/>
  </si>
  <si>
    <t>σ</t>
    <phoneticPr fontId="1" type="noConversion"/>
  </si>
  <si>
    <t>N/m</t>
    <phoneticPr fontId="1" type="noConversion"/>
  </si>
  <si>
    <t>Natural Gas PVT Property</t>
    <phoneticPr fontId="1" type="noConversion"/>
  </si>
  <si>
    <t>SI单位</t>
    <phoneticPr fontId="1" type="noConversion"/>
  </si>
  <si>
    <t>矿场实用单位</t>
    <phoneticPr fontId="1" type="noConversion"/>
  </si>
  <si>
    <t>kg</t>
    <phoneticPr fontId="1" type="noConversion"/>
  </si>
  <si>
    <t>s</t>
    <phoneticPr fontId="1" type="noConversion"/>
  </si>
  <si>
    <t>℃</t>
    <phoneticPr fontId="1" type="noConversion"/>
  </si>
  <si>
    <t>mol</t>
    <phoneticPr fontId="1" type="noConversion"/>
  </si>
  <si>
    <t>MPa</t>
    <phoneticPr fontId="1" type="noConversion"/>
  </si>
  <si>
    <t>Pa.s</t>
    <phoneticPr fontId="1" type="noConversion"/>
  </si>
  <si>
    <t>mPa.s</t>
    <phoneticPr fontId="1" type="noConversion"/>
  </si>
  <si>
    <r>
      <t>m/s</t>
    </r>
    <r>
      <rPr>
        <vertAlign val="superscript"/>
        <sz val="12"/>
        <color theme="1"/>
        <rFont val="黑体"/>
        <family val="3"/>
        <charset val="134"/>
      </rPr>
      <t>2</t>
    </r>
    <r>
      <rPr>
        <sz val="12"/>
        <color theme="1"/>
        <rFont val="黑体"/>
        <family val="3"/>
        <charset val="134"/>
      </rPr>
      <t>，N/kg</t>
    </r>
    <phoneticPr fontId="1" type="noConversion"/>
  </si>
  <si>
    <r>
      <t>m/s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</si>
  <si>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</si>
  <si>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um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</si>
  <si>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MPa</t>
    </r>
    <r>
      <rPr>
        <vertAlign val="superscript"/>
        <sz val="12"/>
        <color theme="1"/>
        <rFont val="黑体"/>
        <family val="3"/>
        <charset val="134"/>
      </rPr>
      <t>-1</t>
    </r>
    <phoneticPr fontId="1" type="noConversion"/>
  </si>
  <si>
    <t>Ppc</t>
    <phoneticPr fontId="1" type="noConversion"/>
  </si>
  <si>
    <t>Tpc</t>
    <phoneticPr fontId="1" type="noConversion"/>
  </si>
  <si>
    <t>K</t>
    <phoneticPr fontId="1" type="noConversion"/>
  </si>
  <si>
    <t>Pa</t>
    <phoneticPr fontId="1" type="noConversion"/>
  </si>
  <si>
    <t>℃</t>
    <phoneticPr fontId="1" type="noConversion"/>
  </si>
  <si>
    <t>Ppr</t>
    <phoneticPr fontId="1" type="noConversion"/>
  </si>
  <si>
    <t>Pa/Pa</t>
    <phoneticPr fontId="1" type="noConversion"/>
  </si>
  <si>
    <t>MPa/MPa</t>
    <phoneticPr fontId="1" type="noConversion"/>
  </si>
  <si>
    <t>Tpr</t>
    <phoneticPr fontId="1" type="noConversion"/>
  </si>
  <si>
    <t>K/K</t>
    <phoneticPr fontId="1" type="noConversion"/>
  </si>
  <si>
    <t>GASPVT</t>
    <phoneticPr fontId="1" type="noConversion"/>
  </si>
  <si>
    <t>Rock Property</t>
    <phoneticPr fontId="1" type="noConversion"/>
  </si>
  <si>
    <t>储集层岩石平均孔隙度，小数</t>
    <phoneticPr fontId="1" type="noConversion"/>
  </si>
  <si>
    <t>NaCl：地层水矿化度，%（1%=10000ppm=10000mg/L）</t>
    <phoneticPr fontId="1" type="noConversion"/>
  </si>
  <si>
    <t>Rcwg：凝析水气比，sm^3/sm^3</t>
    <phoneticPr fontId="1" type="noConversion"/>
  </si>
  <si>
    <t>IsDryGas：天然气气类型（true为干气，false为凝析气）</t>
    <phoneticPr fontId="1" type="noConversion"/>
  </si>
  <si>
    <t>T：气藏温度，K</t>
    <phoneticPr fontId="1" type="noConversion"/>
  </si>
  <si>
    <t>P：气藏压力，Pa</t>
    <phoneticPr fontId="1" type="noConversion"/>
  </si>
  <si>
    <t>输入参数</t>
    <phoneticPr fontId="1" type="noConversion"/>
  </si>
  <si>
    <t>数值</t>
    <phoneticPr fontId="1" type="noConversion"/>
  </si>
  <si>
    <t>Z：天然气偏差系数，无因次（DP方法）</t>
    <phoneticPr fontId="1" type="noConversion"/>
  </si>
  <si>
    <t>Z：天然气偏差系数，无因次（DPR方法）</t>
    <phoneticPr fontId="1" type="noConversion"/>
  </si>
  <si>
    <t>Bg：天然气体积系数，rm^3/sm^3</t>
    <phoneticPr fontId="1" type="noConversion"/>
  </si>
  <si>
    <t>ρg：天然气密度，kg/m^3</t>
    <phoneticPr fontId="1" type="noConversion"/>
  </si>
  <si>
    <t>μg：天然气粘度，Pa.s</t>
    <phoneticPr fontId="1" type="noConversion"/>
  </si>
  <si>
    <t>Cg：天然气压缩系数，1/Pa</t>
    <phoneticPr fontId="1" type="noConversion"/>
  </si>
  <si>
    <t>Pp：天然气拟压力，Pa^2/（Pa.s）</t>
    <phoneticPr fontId="1" type="noConversion"/>
  </si>
  <si>
    <t>输出参数</t>
    <phoneticPr fontId="1" type="noConversion"/>
  </si>
  <si>
    <t>数值</t>
    <phoneticPr fontId="1" type="noConversion"/>
  </si>
  <si>
    <t>输出参数</t>
    <phoneticPr fontId="1" type="noConversion"/>
  </si>
  <si>
    <t>P：地层压力，Pa</t>
    <phoneticPr fontId="1" type="noConversion"/>
  </si>
  <si>
    <t>T：地层温度，K</t>
    <phoneticPr fontId="1" type="noConversion"/>
  </si>
  <si>
    <t>NaCl：地层水矿化度，%（1%=10000ppm=10000mg/L）</t>
    <phoneticPr fontId="1" type="noConversion"/>
  </si>
  <si>
    <t>Bw：地层水体积系数，rm^3/sm^3</t>
    <phoneticPr fontId="1" type="noConversion"/>
  </si>
  <si>
    <t>ρw：地层水密度，kg/m^3</t>
    <phoneticPr fontId="1" type="noConversion"/>
  </si>
  <si>
    <t>μw：地层水粘度，Pa.s</t>
    <phoneticPr fontId="1" type="noConversion"/>
  </si>
  <si>
    <t>Cw：地层水压缩系数，1/Pa</t>
    <phoneticPr fontId="1" type="noConversion"/>
  </si>
  <si>
    <t>Rsw：天然气在水中的溶解度，sm^3/sm^3</t>
    <phoneticPr fontId="1" type="noConversion"/>
  </si>
  <si>
    <t>Rcwg：凝析水气比，sm^3/sm^3</t>
    <phoneticPr fontId="1" type="noConversion"/>
  </si>
  <si>
    <t>Water PVT Property</t>
    <phoneticPr fontId="1" type="noConversion"/>
  </si>
  <si>
    <t>输入参数</t>
    <phoneticPr fontId="1" type="noConversion"/>
  </si>
  <si>
    <t>数值</t>
    <phoneticPr fontId="1" type="noConversion"/>
  </si>
  <si>
    <t>岩石（孔隙体积）的压缩系数，1/Pa   [Newman，1973，Sandstone]</t>
    <phoneticPr fontId="1" type="noConversion"/>
  </si>
  <si>
    <t>岩石（孔隙体积）的压缩系数，1/Pa   [Newman，1973，Limestone]</t>
    <phoneticPr fontId="1" type="noConversion"/>
  </si>
  <si>
    <t>YCO2：CO2摩尔分数，f</t>
    <phoneticPr fontId="1" type="noConversion"/>
  </si>
  <si>
    <t>YH2S：H2S摩尔分数，f</t>
    <phoneticPr fontId="1" type="noConversion"/>
  </si>
  <si>
    <t>γg：天然气相对密度，Dless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</si>
</sst>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_ "/>
    <numFmt numFmtId="177" formatCode="0.00_ "/>
    <numFmt numFmtId="178" formatCode="0.0000E+00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黑体"/>
      <family val="3"/>
      <charset val="134"/>
    </font>
    <font>
      <i/>
      <sz val="12"/>
      <color theme="1"/>
      <name val="黑体"/>
      <family val="3"/>
      <charset val="134"/>
    </font>
    <font>
      <sz val="12"/>
      <color rgb="FFFF0000"/>
      <name val="黑体"/>
      <family val="3"/>
      <charset val="134"/>
    </font>
    <font>
      <i/>
      <sz val="12"/>
      <color rgb="FFFF0000"/>
      <name val="黑体"/>
      <family val="3"/>
      <charset val="134"/>
    </font>
    <font>
      <sz val="12"/>
      <color rgb="FF000000"/>
      <name val="黑体"/>
      <family val="3"/>
      <charset val="134"/>
    </font>
    <font>
      <vertAlign val="superscript"/>
      <sz val="12"/>
      <color rgb="FF000000"/>
      <name val="黑体"/>
      <family val="3"/>
      <charset val="134"/>
    </font>
    <font>
      <vertAlign val="superscript"/>
      <sz val="12"/>
      <color theme="1"/>
      <name val="黑体"/>
      <family val="3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readingOrder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9" fillId="2" borderId="0" xfId="0" applyFont="1" applyFill="1" applyAlignment="1">
      <alignment vertical="center" wrapText="1"/>
    </xf>
    <xf numFmtId="176" fontId="9" fillId="2" borderId="2" xfId="0" applyNumberFormat="1" applyFont="1" applyFill="1" applyBorder="1" applyAlignment="1">
      <alignment horizontal="right" vertical="center"/>
    </xf>
    <xf numFmtId="176" fontId="9" fillId="2" borderId="0" xfId="0" applyNumberFormat="1" applyFont="1" applyFill="1">
      <alignment vertical="center"/>
    </xf>
    <xf numFmtId="177" fontId="9" fillId="2" borderId="0" xfId="0" applyNumberFormat="1" applyFont="1" applyFill="1">
      <alignment vertical="center"/>
    </xf>
    <xf numFmtId="176" fontId="10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0" fillId="2" borderId="0" xfId="0" applyFont="1" applyFill="1">
      <alignment vertical="center"/>
    </xf>
    <xf numFmtId="176" fontId="10" fillId="2" borderId="0" xfId="0" applyNumberFormat="1" applyFont="1" applyFill="1">
      <alignment vertical="center"/>
    </xf>
    <xf numFmtId="178" fontId="10" fillId="2" borderId="0" xfId="0" applyNumberFormat="1" applyFont="1" applyFill="1">
      <alignment vertical="center"/>
    </xf>
    <xf numFmtId="0" fontId="9" fillId="0" borderId="0" xfId="0" applyFont="1">
      <alignment vertical="center"/>
    </xf>
    <xf numFmtId="176" fontId="10" fillId="2" borderId="2" xfId="0" applyNumberFormat="1" applyFont="1" applyFill="1" applyBorder="1" applyAlignment="1">
      <alignment vertical="center"/>
    </xf>
    <xf numFmtId="178" fontId="9" fillId="2" borderId="2" xfId="0" applyNumberFormat="1" applyFont="1" applyFill="1" applyBorder="1" applyAlignment="1">
      <alignment horizontal="right" vertical="center"/>
    </xf>
    <xf numFmtId="11" fontId="9" fillId="0" borderId="0" xfId="0" applyNumberFormat="1" applyFont="1">
      <alignment vertical="center"/>
    </xf>
    <xf numFmtId="178" fontId="10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 wrapText="1"/>
    </xf>
    <xf numFmtId="0" fontId="11" fillId="2" borderId="0" xfId="0" applyFont="1" applyFill="1">
      <alignment vertical="center"/>
    </xf>
    <xf numFmtId="0" fontId="10" fillId="4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B1:H31"/>
  <sheetViews>
    <sheetView workbookViewId="0">
      <selection activeCell="D38" sqref="D38"/>
    </sheetView>
  </sheetViews>
  <sheetFormatPr defaultRowHeight="16.5" customHeight="1" x14ac:dyDescent="0.15"/>
  <cols>
    <col min="1" max="1" width="3" style="3" customWidth="1"/>
    <col min="2" max="3" width="11.625" style="1" bestFit="1" customWidth="1"/>
    <col min="4" max="4" width="11.625" style="1" customWidth="1"/>
    <col min="5" max="5" width="11" style="1" bestFit="1" customWidth="1"/>
    <col min="6" max="6" width="18.875" style="1" customWidth="1"/>
    <col min="7" max="7" width="17.875" style="3" customWidth="1"/>
    <col min="8" max="8" width="27.25" style="1" bestFit="1" customWidth="1"/>
    <col min="9" max="9" width="9" style="3"/>
    <col min="10" max="10" width="9.5" style="3" bestFit="1" customWidth="1"/>
    <col min="11" max="16384" width="9" style="3"/>
  </cols>
  <sheetData>
    <row r="1" spans="2:8" ht="16.5" customHeight="1" x14ac:dyDescent="0.15">
      <c r="D1" s="28"/>
      <c r="E1" s="28" t="s">
        <v>76</v>
      </c>
      <c r="F1" s="1" t="s">
        <v>77</v>
      </c>
      <c r="H1" s="28"/>
    </row>
    <row r="2" spans="2:8" ht="16.5" customHeight="1" x14ac:dyDescent="0.15">
      <c r="B2" s="1" t="s">
        <v>0</v>
      </c>
      <c r="C2" s="2" t="s">
        <v>1</v>
      </c>
      <c r="D2" s="2" t="s">
        <v>2</v>
      </c>
      <c r="E2" s="2" t="s">
        <v>3</v>
      </c>
      <c r="F2" s="2" t="s">
        <v>3</v>
      </c>
      <c r="H2" s="1" t="s">
        <v>4</v>
      </c>
    </row>
    <row r="3" spans="2:8" ht="16.5" customHeight="1" x14ac:dyDescent="0.15">
      <c r="B3" s="1" t="s">
        <v>5</v>
      </c>
      <c r="C3" s="4" t="s">
        <v>6</v>
      </c>
      <c r="D3" s="1" t="s">
        <v>7</v>
      </c>
      <c r="E3" s="1" t="s">
        <v>9</v>
      </c>
      <c r="F3" s="1" t="s">
        <v>8</v>
      </c>
    </row>
    <row r="4" spans="2:8" ht="16.5" customHeight="1" x14ac:dyDescent="0.15">
      <c r="B4" s="1" t="s">
        <v>10</v>
      </c>
      <c r="C4" s="4" t="s">
        <v>9</v>
      </c>
      <c r="D4" s="1" t="s">
        <v>11</v>
      </c>
      <c r="E4" s="1" t="s">
        <v>12</v>
      </c>
      <c r="F4" s="1" t="s">
        <v>78</v>
      </c>
    </row>
    <row r="5" spans="2:8" ht="16.5" customHeight="1" x14ac:dyDescent="0.15">
      <c r="B5" s="1" t="s">
        <v>13</v>
      </c>
      <c r="C5" s="4" t="s">
        <v>14</v>
      </c>
      <c r="D5" s="1" t="s">
        <v>15</v>
      </c>
      <c r="E5" s="1" t="s">
        <v>16</v>
      </c>
      <c r="F5" s="1" t="s">
        <v>79</v>
      </c>
    </row>
    <row r="6" spans="2:8" ht="16.5" customHeight="1" x14ac:dyDescent="0.15">
      <c r="B6" s="1" t="s">
        <v>17</v>
      </c>
      <c r="C6" s="4" t="s">
        <v>18</v>
      </c>
      <c r="D6" s="1" t="s">
        <v>19</v>
      </c>
      <c r="E6" s="1" t="s">
        <v>20</v>
      </c>
      <c r="F6" s="1" t="s">
        <v>80</v>
      </c>
    </row>
    <row r="7" spans="2:8" ht="16.5" customHeight="1" x14ac:dyDescent="0.15">
      <c r="B7" s="1" t="s">
        <v>21</v>
      </c>
      <c r="C7" s="4" t="s">
        <v>22</v>
      </c>
      <c r="D7" s="1" t="s">
        <v>23</v>
      </c>
      <c r="E7" s="1" t="s">
        <v>24</v>
      </c>
      <c r="F7" s="1" t="s">
        <v>81</v>
      </c>
    </row>
    <row r="8" spans="2:8" s="7" customFormat="1" ht="16.5" customHeight="1" x14ac:dyDescent="0.15">
      <c r="B8" s="5" t="s">
        <v>25</v>
      </c>
      <c r="C8" s="6" t="s">
        <v>26</v>
      </c>
      <c r="D8" s="5" t="s">
        <v>27</v>
      </c>
      <c r="E8" s="5" t="s">
        <v>28</v>
      </c>
      <c r="F8" s="5"/>
      <c r="H8" s="5"/>
    </row>
    <row r="9" spans="2:8" s="7" customFormat="1" ht="16.5" customHeight="1" x14ac:dyDescent="0.15">
      <c r="B9" s="5" t="s">
        <v>29</v>
      </c>
      <c r="C9" s="6" t="s">
        <v>30</v>
      </c>
      <c r="D9" s="5" t="s">
        <v>31</v>
      </c>
      <c r="E9" s="5" t="s">
        <v>32</v>
      </c>
      <c r="F9" s="5"/>
      <c r="H9" s="5"/>
    </row>
    <row r="10" spans="2:8" s="7" customFormat="1" ht="16.5" customHeight="1" x14ac:dyDescent="0.15">
      <c r="B10" s="5"/>
      <c r="C10" s="6"/>
      <c r="D10" s="5"/>
      <c r="E10" s="5"/>
      <c r="F10" s="5"/>
      <c r="H10" s="5"/>
    </row>
    <row r="11" spans="2:8" ht="16.5" customHeight="1" x14ac:dyDescent="0.15">
      <c r="B11" s="1" t="s">
        <v>33</v>
      </c>
      <c r="C11" s="4" t="s">
        <v>34</v>
      </c>
      <c r="D11" s="1" t="s">
        <v>35</v>
      </c>
      <c r="E11" s="1" t="s">
        <v>36</v>
      </c>
      <c r="F11" s="1" t="s">
        <v>36</v>
      </c>
      <c r="H11" s="8" t="s">
        <v>37</v>
      </c>
    </row>
    <row r="12" spans="2:8" ht="16.5" customHeight="1" x14ac:dyDescent="0.15">
      <c r="B12" s="1" t="s">
        <v>38</v>
      </c>
      <c r="C12" s="4" t="s">
        <v>39</v>
      </c>
      <c r="D12" s="1" t="s">
        <v>40</v>
      </c>
      <c r="E12" s="1" t="s">
        <v>41</v>
      </c>
      <c r="F12" s="1" t="s">
        <v>82</v>
      </c>
      <c r="H12" s="9" t="s">
        <v>42</v>
      </c>
    </row>
    <row r="13" spans="2:8" ht="16.5" customHeight="1" x14ac:dyDescent="0.15">
      <c r="B13" s="2" t="s">
        <v>43</v>
      </c>
      <c r="C13" s="4" t="s">
        <v>44</v>
      </c>
      <c r="D13" s="1" t="s">
        <v>45</v>
      </c>
      <c r="E13" s="1" t="s">
        <v>46</v>
      </c>
      <c r="H13" s="10" t="s">
        <v>47</v>
      </c>
    </row>
    <row r="14" spans="2:8" ht="16.5" customHeight="1" x14ac:dyDescent="0.15">
      <c r="B14" s="1" t="s">
        <v>48</v>
      </c>
      <c r="C14" s="4" t="s">
        <v>28</v>
      </c>
      <c r="E14" s="1" t="s">
        <v>49</v>
      </c>
      <c r="F14" s="1" t="s">
        <v>49</v>
      </c>
    </row>
    <row r="15" spans="2:8" ht="16.5" customHeight="1" x14ac:dyDescent="0.15">
      <c r="B15" s="1" t="s">
        <v>50</v>
      </c>
      <c r="C15" s="4" t="s">
        <v>51</v>
      </c>
      <c r="E15" s="1" t="s">
        <v>52</v>
      </c>
      <c r="F15" s="1" t="s">
        <v>52</v>
      </c>
    </row>
    <row r="16" spans="2:8" ht="16.5" customHeight="1" x14ac:dyDescent="0.15">
      <c r="B16" s="1" t="s">
        <v>53</v>
      </c>
      <c r="C16" s="4" t="s">
        <v>54</v>
      </c>
      <c r="E16" s="1" t="s">
        <v>55</v>
      </c>
      <c r="F16" s="1" t="s">
        <v>55</v>
      </c>
    </row>
    <row r="17" spans="2:8" ht="16.5" customHeight="1" x14ac:dyDescent="0.15">
      <c r="B17" s="1" t="s">
        <v>56</v>
      </c>
      <c r="C17" s="4" t="s">
        <v>57</v>
      </c>
      <c r="E17" s="1" t="s">
        <v>58</v>
      </c>
      <c r="F17" s="1" t="s">
        <v>58</v>
      </c>
    </row>
    <row r="18" spans="2:8" ht="16.5" customHeight="1" x14ac:dyDescent="0.15">
      <c r="B18" s="1" t="s">
        <v>59</v>
      </c>
      <c r="C18" s="4" t="s">
        <v>60</v>
      </c>
      <c r="E18" s="1" t="s">
        <v>61</v>
      </c>
      <c r="F18" s="1" t="s">
        <v>61</v>
      </c>
    </row>
    <row r="19" spans="2:8" ht="16.5" customHeight="1" x14ac:dyDescent="0.15">
      <c r="B19" s="1" t="s">
        <v>62</v>
      </c>
      <c r="C19" s="4" t="s">
        <v>63</v>
      </c>
      <c r="E19" s="1" t="s">
        <v>83</v>
      </c>
      <c r="F19" s="1" t="s">
        <v>84</v>
      </c>
      <c r="H19" s="11" t="s">
        <v>64</v>
      </c>
    </row>
    <row r="20" spans="2:8" ht="16.5" customHeight="1" x14ac:dyDescent="0.15">
      <c r="B20" s="1" t="s">
        <v>65</v>
      </c>
      <c r="C20" s="4" t="s">
        <v>66</v>
      </c>
      <c r="E20" s="1" t="s">
        <v>85</v>
      </c>
      <c r="F20" s="1" t="s">
        <v>86</v>
      </c>
    </row>
    <row r="21" spans="2:8" ht="16.5" customHeight="1" x14ac:dyDescent="0.15">
      <c r="B21" s="1" t="s">
        <v>67</v>
      </c>
      <c r="C21" s="4" t="s">
        <v>68</v>
      </c>
      <c r="E21" s="1" t="s">
        <v>87</v>
      </c>
      <c r="F21" s="1" t="s">
        <v>88</v>
      </c>
    </row>
    <row r="22" spans="2:8" ht="16.5" customHeight="1" x14ac:dyDescent="0.15">
      <c r="B22" s="1" t="s">
        <v>69</v>
      </c>
      <c r="C22" s="4" t="s">
        <v>70</v>
      </c>
      <c r="E22" s="1" t="s">
        <v>71</v>
      </c>
      <c r="F22" s="1" t="s">
        <v>89</v>
      </c>
    </row>
    <row r="23" spans="2:8" ht="16.5" customHeight="1" x14ac:dyDescent="0.15">
      <c r="B23" s="1" t="s">
        <v>72</v>
      </c>
      <c r="C23" s="1" t="s">
        <v>73</v>
      </c>
      <c r="E23" s="1" t="s">
        <v>74</v>
      </c>
      <c r="F23" s="1" t="s">
        <v>74</v>
      </c>
    </row>
    <row r="24" spans="2:8" ht="16.5" customHeight="1" x14ac:dyDescent="0.15">
      <c r="B24" s="19"/>
      <c r="C24" s="19"/>
      <c r="D24" s="19"/>
      <c r="E24" s="19"/>
      <c r="F24" s="19"/>
      <c r="H24" s="19"/>
    </row>
    <row r="25" spans="2:8" ht="16.5" customHeight="1" x14ac:dyDescent="0.15">
      <c r="B25" s="19"/>
      <c r="C25" s="19"/>
      <c r="D25" s="19"/>
      <c r="E25" s="19"/>
      <c r="F25" s="19"/>
      <c r="H25" s="19"/>
    </row>
    <row r="26" spans="2:8" ht="16.5" customHeight="1" x14ac:dyDescent="0.15">
      <c r="B26" s="19"/>
      <c r="C26" s="19"/>
      <c r="D26" s="19"/>
      <c r="E26" s="19"/>
      <c r="F26" s="19"/>
      <c r="H26" s="19"/>
    </row>
    <row r="27" spans="2:8" ht="16.5" customHeight="1" x14ac:dyDescent="0.15">
      <c r="B27" s="19"/>
      <c r="C27" s="19"/>
      <c r="D27" s="19"/>
      <c r="E27" s="19"/>
      <c r="F27" s="19"/>
      <c r="H27" s="19"/>
    </row>
    <row r="28" spans="2:8" ht="16.5" customHeight="1" x14ac:dyDescent="0.15">
      <c r="B28" s="1" t="s">
        <v>100</v>
      </c>
      <c r="C28" s="5" t="s">
        <v>90</v>
      </c>
      <c r="D28" s="5"/>
      <c r="E28" s="5" t="s">
        <v>93</v>
      </c>
      <c r="F28" s="1" t="s">
        <v>82</v>
      </c>
    </row>
    <row r="29" spans="2:8" ht="16.5" customHeight="1" x14ac:dyDescent="0.15">
      <c r="B29" s="19" t="s">
        <v>100</v>
      </c>
      <c r="C29" s="5" t="s">
        <v>91</v>
      </c>
      <c r="D29" s="5"/>
      <c r="E29" s="5" t="s">
        <v>92</v>
      </c>
      <c r="F29" s="1" t="s">
        <v>94</v>
      </c>
    </row>
    <row r="30" spans="2:8" ht="16.5" customHeight="1" x14ac:dyDescent="0.15">
      <c r="B30" s="19" t="s">
        <v>100</v>
      </c>
      <c r="C30" s="5" t="s">
        <v>95</v>
      </c>
      <c r="D30" s="5"/>
      <c r="E30" s="5" t="s">
        <v>96</v>
      </c>
      <c r="F30" s="1" t="s">
        <v>97</v>
      </c>
    </row>
    <row r="31" spans="2:8" ht="16.5" customHeight="1" x14ac:dyDescent="0.15">
      <c r="B31" s="19" t="s">
        <v>100</v>
      </c>
      <c r="C31" s="5" t="s">
        <v>98</v>
      </c>
      <c r="D31" s="5"/>
      <c r="E31" s="5" t="s">
        <v>99</v>
      </c>
      <c r="F31" s="1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  <pageSetUpPr fitToPage="1"/>
  </sheetPr>
  <dimension ref="A1:L18"/>
  <sheetViews>
    <sheetView showGridLines="0" zoomScaleNormal="100" workbookViewId="0">
      <selection activeCell="B29" sqref="B29"/>
    </sheetView>
  </sheetViews>
  <sheetFormatPr defaultColWidth="15.625" defaultRowHeight="16.5" x14ac:dyDescent="0.15"/>
  <cols>
    <col min="1" max="1" width="3.125" style="12" customWidth="1"/>
    <col min="2" max="2" width="59.125" style="12" bestFit="1" customWidth="1"/>
    <col min="3" max="3" width="14.875" style="12" bestFit="1" customWidth="1"/>
    <col min="4" max="16384" width="15.625" style="12"/>
  </cols>
  <sheetData>
    <row r="1" spans="1:12" x14ac:dyDescent="0.15">
      <c r="B1" s="31" t="s">
        <v>75</v>
      </c>
    </row>
    <row r="2" spans="1:12" x14ac:dyDescent="0.15">
      <c r="B2" s="32" t="s">
        <v>130</v>
      </c>
      <c r="C2" s="32" t="s">
        <v>131</v>
      </c>
      <c r="D2" s="13"/>
    </row>
    <row r="3" spans="1:12" s="14" customFormat="1" x14ac:dyDescent="0.15">
      <c r="B3" s="29" t="s">
        <v>105</v>
      </c>
      <c r="C3" s="15" t="b">
        <v>1</v>
      </c>
    </row>
    <row r="4" spans="1:12" s="14" customFormat="1" x14ac:dyDescent="0.15">
      <c r="B4" s="29" t="s">
        <v>136</v>
      </c>
      <c r="C4" s="15">
        <v>0.73360000000000003</v>
      </c>
    </row>
    <row r="5" spans="1:12" s="14" customFormat="1" x14ac:dyDescent="0.15">
      <c r="B5" s="29" t="s">
        <v>134</v>
      </c>
      <c r="C5" s="15">
        <v>8.9599999999999999E-2</v>
      </c>
    </row>
    <row r="6" spans="1:12" s="14" customFormat="1" x14ac:dyDescent="0.15">
      <c r="B6" s="29" t="s">
        <v>135</v>
      </c>
      <c r="C6" s="15">
        <v>0.1462</v>
      </c>
    </row>
    <row r="7" spans="1:12" x14ac:dyDescent="0.15">
      <c r="B7" s="29" t="s">
        <v>106</v>
      </c>
      <c r="C7" s="15">
        <f>134+273.15</f>
        <v>407.15</v>
      </c>
    </row>
    <row r="8" spans="1:12" x14ac:dyDescent="0.15">
      <c r="B8" s="29" t="s">
        <v>107</v>
      </c>
      <c r="C8" s="15">
        <f>60*1000000</f>
        <v>60000000</v>
      </c>
    </row>
    <row r="9" spans="1:12" x14ac:dyDescent="0.15">
      <c r="A9" s="16"/>
      <c r="B9" s="30" t="s">
        <v>103</v>
      </c>
      <c r="C9" s="18">
        <v>8.5</v>
      </c>
      <c r="E9" s="17"/>
      <c r="F9" s="17"/>
      <c r="G9" s="17"/>
      <c r="H9" s="17"/>
      <c r="I9" s="17"/>
      <c r="J9" s="17"/>
      <c r="K9" s="17"/>
      <c r="L9" s="16"/>
    </row>
    <row r="10" spans="1:12" x14ac:dyDescent="0.15">
      <c r="A10" s="16"/>
      <c r="B10" s="32" t="s">
        <v>117</v>
      </c>
      <c r="C10" s="32" t="s">
        <v>118</v>
      </c>
      <c r="E10" s="17"/>
      <c r="F10" s="17"/>
      <c r="G10" s="17"/>
      <c r="H10" s="17"/>
      <c r="I10" s="17"/>
      <c r="J10" s="17"/>
      <c r="K10" s="17"/>
      <c r="L10" s="16"/>
    </row>
    <row r="11" spans="1:12" x14ac:dyDescent="0.15">
      <c r="A11" s="16"/>
      <c r="B11" s="29" t="s">
        <v>110</v>
      </c>
      <c r="C11" s="18">
        <f>GASPVTZ(C3,C4,C5,C6,C7,C8)</f>
        <v>1.2537481730583608</v>
      </c>
      <c r="E11" s="17"/>
      <c r="F11" s="17"/>
      <c r="G11" s="17"/>
      <c r="H11" s="17"/>
      <c r="I11" s="17"/>
      <c r="J11" s="17"/>
      <c r="K11" s="17"/>
      <c r="L11" s="16"/>
    </row>
    <row r="12" spans="1:12" x14ac:dyDescent="0.15">
      <c r="A12" s="16"/>
      <c r="B12" s="29" t="s">
        <v>111</v>
      </c>
      <c r="C12" s="18">
        <f>GASPVTZ1(C3,C4,C5,C6,C7,C8)</f>
        <v>1.3301286014404512</v>
      </c>
      <c r="E12" s="17"/>
      <c r="F12" s="17"/>
      <c r="G12" s="17"/>
      <c r="H12" s="17"/>
      <c r="I12" s="17"/>
      <c r="J12" s="17"/>
      <c r="K12" s="17"/>
      <c r="L12" s="16"/>
    </row>
    <row r="13" spans="1:12" x14ac:dyDescent="0.15">
      <c r="A13" s="16"/>
      <c r="B13" s="29" t="s">
        <v>112</v>
      </c>
      <c r="C13" s="18">
        <f>GASPVTBG(C3,C4,C5,C6,C7,C8)</f>
        <v>2.940628864321258E-3</v>
      </c>
      <c r="E13" s="17"/>
      <c r="F13" s="17"/>
      <c r="G13" s="17"/>
      <c r="H13" s="17"/>
      <c r="I13" s="17"/>
      <c r="J13" s="17"/>
      <c r="K13" s="17"/>
      <c r="L13" s="16"/>
    </row>
    <row r="14" spans="1:12" x14ac:dyDescent="0.15">
      <c r="A14" s="16"/>
      <c r="B14" s="29" t="s">
        <v>113</v>
      </c>
      <c r="C14" s="18">
        <f>GASPVTDEN(C3,C4,C5,C6,C7,C8)</f>
        <v>300.4222278348056</v>
      </c>
      <c r="E14" s="17"/>
      <c r="F14" s="17"/>
      <c r="G14" s="17"/>
      <c r="H14" s="17"/>
      <c r="I14" s="17"/>
      <c r="J14" s="17"/>
      <c r="K14" s="17"/>
      <c r="L14" s="16"/>
    </row>
    <row r="15" spans="1:12" x14ac:dyDescent="0.15">
      <c r="A15" s="16"/>
      <c r="B15" s="29" t="s">
        <v>114</v>
      </c>
      <c r="C15" s="27">
        <f>GASPVTVIS(C3,C4,C5,C6,C7,C8)</f>
        <v>3.7546747086059672E-5</v>
      </c>
      <c r="E15" s="17"/>
      <c r="F15" s="17"/>
      <c r="G15" s="17"/>
      <c r="H15" s="17"/>
      <c r="I15" s="17"/>
      <c r="J15" s="17"/>
      <c r="K15" s="17"/>
      <c r="L15" s="16"/>
    </row>
    <row r="16" spans="1:12" x14ac:dyDescent="0.15">
      <c r="A16" s="16"/>
      <c r="B16" s="29" t="s">
        <v>115</v>
      </c>
      <c r="C16" s="27">
        <f>GASPVTCG(C3,C4,C5,C6,C7,C8)</f>
        <v>7.3322370811114881E-9</v>
      </c>
      <c r="E16" s="17"/>
      <c r="F16" s="17"/>
      <c r="G16" s="17"/>
      <c r="H16" s="17"/>
      <c r="I16" s="17"/>
      <c r="J16" s="17"/>
      <c r="K16" s="17"/>
      <c r="L16" s="16"/>
    </row>
    <row r="17" spans="1:12" x14ac:dyDescent="0.15">
      <c r="A17" s="16"/>
      <c r="B17" s="29" t="s">
        <v>116</v>
      </c>
      <c r="C17" s="27">
        <f>gaspvtpp(C3,C4,C5,C6,C7,C8)</f>
        <v>1.2651190140454509E+20</v>
      </c>
      <c r="E17" s="17"/>
      <c r="F17" s="17"/>
      <c r="G17" s="17"/>
      <c r="H17" s="17"/>
      <c r="I17" s="17"/>
      <c r="J17" s="17"/>
      <c r="K17" s="17"/>
      <c r="L17" s="16"/>
    </row>
    <row r="18" spans="1:12" x14ac:dyDescent="0.15">
      <c r="A18" s="16"/>
      <c r="B18" s="29" t="s">
        <v>104</v>
      </c>
      <c r="C18" s="27">
        <f>GASPVTCWGR(C8,C7,C9)</f>
        <v>7.2128424363342782E-6</v>
      </c>
      <c r="E18" s="17"/>
      <c r="F18" s="17"/>
      <c r="G18" s="17"/>
      <c r="H18" s="17"/>
      <c r="I18" s="17"/>
      <c r="J18" s="17"/>
      <c r="K18" s="17"/>
      <c r="L18" s="16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B1:N20"/>
  <sheetViews>
    <sheetView showGridLines="0" zoomScaleNormal="100" workbookViewId="0">
      <selection activeCell="C10" sqref="C10"/>
    </sheetView>
  </sheetViews>
  <sheetFormatPr defaultColWidth="15.625" defaultRowHeight="16.5" x14ac:dyDescent="0.15"/>
  <cols>
    <col min="1" max="1" width="4" style="20" customWidth="1"/>
    <col min="2" max="2" width="49.5" style="20" bestFit="1" customWidth="1"/>
    <col min="3" max="3" width="14.875" style="20" bestFit="1" customWidth="1"/>
    <col min="4" max="16384" width="15.625" style="20"/>
  </cols>
  <sheetData>
    <row r="1" spans="2:14" ht="29.25" customHeight="1" x14ac:dyDescent="0.15">
      <c r="B1" s="31" t="s">
        <v>129</v>
      </c>
    </row>
    <row r="2" spans="2:14" x14ac:dyDescent="0.15">
      <c r="B2" s="32" t="s">
        <v>108</v>
      </c>
      <c r="C2" s="32" t="s">
        <v>109</v>
      </c>
      <c r="E2" s="21"/>
      <c r="F2" s="21"/>
      <c r="G2" s="21"/>
      <c r="H2" s="21"/>
      <c r="I2" s="21"/>
      <c r="K2" s="21"/>
    </row>
    <row r="3" spans="2:14" x14ac:dyDescent="0.15">
      <c r="B3" s="29" t="s">
        <v>120</v>
      </c>
      <c r="C3" s="18">
        <f>60*10^6</f>
        <v>60000000</v>
      </c>
      <c r="L3" s="21"/>
      <c r="M3" s="21"/>
      <c r="N3" s="21"/>
    </row>
    <row r="4" spans="2:14" x14ac:dyDescent="0.15">
      <c r="B4" s="29" t="s">
        <v>121</v>
      </c>
      <c r="C4" s="18">
        <f>134+273.15</f>
        <v>407.15</v>
      </c>
      <c r="E4" s="22"/>
      <c r="F4" s="22"/>
      <c r="G4" s="22"/>
      <c r="H4" s="22"/>
      <c r="I4" s="22"/>
      <c r="K4" s="22"/>
    </row>
    <row r="5" spans="2:14" x14ac:dyDescent="0.15">
      <c r="B5" s="29" t="s">
        <v>122</v>
      </c>
      <c r="C5" s="18">
        <v>8.5</v>
      </c>
      <c r="E5" s="22"/>
      <c r="F5" s="22"/>
      <c r="G5" s="22"/>
      <c r="H5" s="22"/>
      <c r="I5" s="22"/>
      <c r="K5" s="22"/>
      <c r="M5" s="21"/>
      <c r="N5" s="21"/>
    </row>
    <row r="6" spans="2:14" x14ac:dyDescent="0.15">
      <c r="B6" s="32" t="s">
        <v>119</v>
      </c>
      <c r="C6" s="32" t="s">
        <v>109</v>
      </c>
      <c r="L6" s="21"/>
      <c r="M6" s="21"/>
      <c r="N6" s="21"/>
    </row>
    <row r="7" spans="2:14" x14ac:dyDescent="0.15">
      <c r="B7" s="29" t="s">
        <v>123</v>
      </c>
      <c r="C7" s="18">
        <f>WATERPVTBW(C3,C4,C5)</f>
        <v>1.0595064480886864</v>
      </c>
      <c r="L7" s="21"/>
      <c r="M7" s="21"/>
      <c r="N7" s="21"/>
    </row>
    <row r="8" spans="2:14" x14ac:dyDescent="0.15">
      <c r="B8" s="29" t="s">
        <v>124</v>
      </c>
      <c r="C8" s="18">
        <f>WATERPVTDEN(C3,C4,C5)</f>
        <v>1000.0617402201106</v>
      </c>
      <c r="L8" s="21"/>
      <c r="M8" s="21"/>
      <c r="N8" s="21"/>
    </row>
    <row r="9" spans="2:14" x14ac:dyDescent="0.15">
      <c r="B9" s="29" t="s">
        <v>125</v>
      </c>
      <c r="C9" s="27">
        <f>WATERPVTVIS(C3,C4,C5)</f>
        <v>2.0876323376614351E-4</v>
      </c>
      <c r="L9" s="21"/>
      <c r="M9" s="21"/>
      <c r="N9" s="21"/>
    </row>
    <row r="10" spans="2:14" x14ac:dyDescent="0.15">
      <c r="B10" s="29" t="s">
        <v>126</v>
      </c>
      <c r="C10" s="27">
        <f>WATERPVTCW(C3,C4,C5)</f>
        <v>4.5433683641378093E-10</v>
      </c>
      <c r="L10" s="21"/>
      <c r="M10" s="21"/>
      <c r="N10" s="21"/>
    </row>
    <row r="11" spans="2:14" x14ac:dyDescent="0.15">
      <c r="B11" s="29" t="s">
        <v>127</v>
      </c>
      <c r="C11" s="18">
        <f>WATERPVTRS(C3,C4,C5)</f>
        <v>2.8953662324897209</v>
      </c>
      <c r="L11" s="21"/>
      <c r="M11" s="21"/>
      <c r="N11" s="21"/>
    </row>
    <row r="12" spans="2:14" x14ac:dyDescent="0.15">
      <c r="B12" s="29" t="s">
        <v>128</v>
      </c>
      <c r="C12" s="27">
        <f>GASPVTCWGR(C3,C4,C5)</f>
        <v>7.2128424363342782E-6</v>
      </c>
      <c r="L12" s="21"/>
      <c r="M12" s="21"/>
      <c r="N12" s="21"/>
    </row>
    <row r="13" spans="2:14" x14ac:dyDescent="0.15">
      <c r="L13" s="21"/>
      <c r="M13" s="21"/>
      <c r="N13" s="21"/>
    </row>
    <row r="14" spans="2:14" x14ac:dyDescent="0.15">
      <c r="L14" s="21"/>
      <c r="M14" s="21"/>
      <c r="N14" s="21"/>
    </row>
    <row r="15" spans="2:14" x14ac:dyDescent="0.15">
      <c r="L15" s="21"/>
      <c r="M15" s="21"/>
      <c r="N15" s="21"/>
    </row>
    <row r="16" spans="2:14" x14ac:dyDescent="0.15">
      <c r="L16" s="21"/>
      <c r="M16" s="21"/>
      <c r="N16" s="21"/>
    </row>
    <row r="17" spans="12:14" x14ac:dyDescent="0.15">
      <c r="L17" s="21"/>
      <c r="M17" s="21"/>
      <c r="N17" s="21"/>
    </row>
    <row r="18" spans="12:14" x14ac:dyDescent="0.15">
      <c r="L18" s="21"/>
      <c r="M18" s="21"/>
      <c r="N18" s="21"/>
    </row>
    <row r="19" spans="12:14" x14ac:dyDescent="0.15">
      <c r="L19" s="21"/>
      <c r="M19" s="21"/>
      <c r="N19" s="21"/>
    </row>
    <row r="20" spans="12:14" x14ac:dyDescent="0.15">
      <c r="L20" s="21"/>
      <c r="M20" s="21"/>
      <c r="N20" s="21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B1:E13"/>
  <sheetViews>
    <sheetView showGridLines="0" workbookViewId="0">
      <selection activeCell="E28" sqref="E28"/>
    </sheetView>
  </sheetViews>
  <sheetFormatPr defaultColWidth="15.625" defaultRowHeight="16.5" x14ac:dyDescent="0.15"/>
  <cols>
    <col min="1" max="1" width="2.75" style="23" customWidth="1"/>
    <col min="2" max="2" width="59.125" style="23" bestFit="1" customWidth="1"/>
    <col min="3" max="3" width="10.5" style="23" bestFit="1" customWidth="1"/>
    <col min="4" max="16384" width="15.625" style="23"/>
  </cols>
  <sheetData>
    <row r="1" spans="2:5" ht="34.5" customHeight="1" x14ac:dyDescent="0.15">
      <c r="B1" s="31" t="s">
        <v>101</v>
      </c>
    </row>
    <row r="2" spans="2:5" x14ac:dyDescent="0.15">
      <c r="B2" s="32" t="s">
        <v>108</v>
      </c>
      <c r="C2" s="32" t="s">
        <v>109</v>
      </c>
    </row>
    <row r="3" spans="2:5" x14ac:dyDescent="0.15">
      <c r="B3" s="29" t="s">
        <v>102</v>
      </c>
      <c r="C3" s="24">
        <v>0.15</v>
      </c>
    </row>
    <row r="4" spans="2:5" x14ac:dyDescent="0.15">
      <c r="B4" s="32" t="s">
        <v>119</v>
      </c>
      <c r="C4" s="32" t="s">
        <v>109</v>
      </c>
    </row>
    <row r="5" spans="2:5" x14ac:dyDescent="0.15">
      <c r="B5" s="29" t="s">
        <v>132</v>
      </c>
      <c r="C5" s="25">
        <f>ROCKSANDCP($C$3)</f>
        <v>5.7644798569255989E-10</v>
      </c>
    </row>
    <row r="6" spans="2:5" x14ac:dyDescent="0.15">
      <c r="B6" s="29" t="s">
        <v>133</v>
      </c>
      <c r="C6" s="25">
        <f>ROCKLIMECP(C3)</f>
        <v>8.5035145203317697E-10</v>
      </c>
      <c r="E6" s="26"/>
    </row>
    <row r="7" spans="2:5" x14ac:dyDescent="0.15">
      <c r="E7" s="26"/>
    </row>
    <row r="8" spans="2:5" x14ac:dyDescent="0.15">
      <c r="E8" s="26"/>
    </row>
    <row r="10" spans="2:5" x14ac:dyDescent="0.15">
      <c r="D10" s="26"/>
    </row>
    <row r="11" spans="2:5" x14ac:dyDescent="0.15">
      <c r="E11" s="26"/>
    </row>
    <row r="13" spans="2:5" x14ac:dyDescent="0.15">
      <c r="E13" s="2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22" sqref="G2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单位制</vt:lpstr>
      <vt:lpstr>1.1 天然气性质</vt:lpstr>
      <vt:lpstr>1.2 地层水性质</vt:lpstr>
      <vt:lpstr>1.3 岩石性质</vt:lpstr>
      <vt:lpstr>Sheet1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李继强</dc:creator>
  <cp:lastModifiedBy>李继强</cp:lastModifiedBy>
  <dcterms:created xsi:type="dcterms:W3CDTF">2018-09-04T01:01:45Z</dcterms:created>
  <dcterms:modified xsi:type="dcterms:W3CDTF">2019-10-15T08:57:54Z</dcterms:modified>
</cp:coreProperties>
</file>